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NIIT Program\Capstone Project\"/>
    </mc:Choice>
  </mc:AlternateContent>
  <xr:revisionPtr revIDLastSave="0" documentId="13_ncr:1_{CA09E9A4-6FBB-4786-AC01-4E29C909A2A2}" xr6:coauthVersionLast="36" xr6:coauthVersionMax="36" xr10:uidLastSave="{00000000-0000-0000-0000-000000000000}"/>
  <bookViews>
    <workbookView xWindow="0" yWindow="0" windowWidth="11265" windowHeight="4080" xr2:uid="{9FECFFC0-3488-47F3-91A8-C405A79E5647}"/>
  </bookViews>
  <sheets>
    <sheet name="Dashboard" sheetId="10" r:id="rId1"/>
    <sheet name="Customer Satisfaction" sheetId="8" r:id="rId2"/>
    <sheet name="Customer Retention" sheetId="9" r:id="rId3"/>
    <sheet name="Sales Summary" sheetId="6" r:id="rId4"/>
  </sheets>
  <definedNames>
    <definedName name="ExternalData_1" localSheetId="3" hidden="1">'Sales Summary'!$A$1:$D$73</definedName>
    <definedName name="ExternalData_3" localSheetId="2" hidden="1">'Customer Retention'!$A$1:$E$418</definedName>
    <definedName name="ExternalData_3" localSheetId="1" hidden="1">'Customer Satisfaction'!$A$1:$D$143</definedName>
    <definedName name="Slicer_Category_name">#N/A</definedName>
    <definedName name="Slicer_customer_segment">#N/A</definedName>
    <definedName name="Slicer_Repeat_Buye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7" i="9" l="1"/>
  <c r="AG4" i="9"/>
  <c r="H9" i="6"/>
  <c r="H4" i="6"/>
  <c r="H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CCB8A-8427-45B7-BDBA-5107FA8DD768}" keepAlive="1" name="Query - retailtech customer_retention" description="Connection to the 'retailtech customer_retention' query in the workbook." type="5" refreshedVersion="6" background="1">
    <dbPr connection="Provider=Microsoft.Mashup.OleDb.1;Data Source=$Workbook$;Location=retailtech customer_retention;Extended Properties=&quot;&quot;" command="SELECT * FROM [retailtech customer_retention]"/>
  </connection>
  <connection id="2" xr16:uid="{98151780-F6DB-409A-8CF8-4659E8F75908}" keepAlive="1" name="Query - retailtech customer_satisfaction" description="Connection to the 'retailtech customer_satisfaction' query in the workbook." type="5" refreshedVersion="6" background="1" saveData="1">
    <dbPr connection="Provider=Microsoft.Mashup.OleDb.1;Data Source=$Workbook$;Location=retailtech customer_satisfaction;Extended Properties=&quot;&quot;" command="SELECT * FROM [retailtech customer_satisfaction]"/>
  </connection>
  <connection id="3" xr16:uid="{A5ED348F-85A6-43AC-8D85-074F2778024A}" keepAlive="1" name="Query - retailtech sales_summary" description="Connection to the 'retailtech sales_summary' query in the workbook." type="5" refreshedVersion="6" background="1" saveData="1">
    <dbPr connection="Provider=Microsoft.Mashup.OleDb.1;Data Source=$Workbook$;Location=retailtech sales_summary;Extended Properties=&quot;&quot;" command="SELECT * FROM [retailtech sales_summary]"/>
  </connection>
  <connection id="4" xr16:uid="{E9D48EAE-4E39-4692-9813-EB88CAD2B502}" keepAlive="1" name="Query - retailtech vw_customer_retention" description="Connection to the 'retailtech vw_customer_retention' query in the workbook." type="5" refreshedVersion="6" background="1" saveData="1">
    <dbPr connection="Provider=Microsoft.Mashup.OleDb.1;Data Source=$Workbook$;Location=retailtech vw_customer_retention;Extended Properties=&quot;&quot;" command="SELECT * FROM [retailtech vw_customer_retention]"/>
  </connection>
</connections>
</file>

<file path=xl/sharedStrings.xml><?xml version="1.0" encoding="utf-8"?>
<sst xmlns="http://schemas.openxmlformats.org/spreadsheetml/2006/main" count="1804" uniqueCount="102">
  <si>
    <t>Category_name</t>
  </si>
  <si>
    <t>Total_Orders</t>
  </si>
  <si>
    <t>Total_Revenue</t>
  </si>
  <si>
    <t>Average_Order_Value</t>
  </si>
  <si>
    <t>Agro_Industry_And_Commerce</t>
  </si>
  <si>
    <t>Air_Conditioning</t>
  </si>
  <si>
    <t>Art</t>
  </si>
  <si>
    <t>Arts_And_Craftmanship</t>
  </si>
  <si>
    <t>Audio</t>
  </si>
  <si>
    <t>Auto</t>
  </si>
  <si>
    <t>Baby</t>
  </si>
  <si>
    <t>Bed_Bath_Table</t>
  </si>
  <si>
    <t>Books_General_Interest</t>
  </si>
  <si>
    <t>Books_Imported</t>
  </si>
  <si>
    <t>Books_Technical</t>
  </si>
  <si>
    <t>Cds_Dvds_Musicals</t>
  </si>
  <si>
    <t>Christmas_Supplies</t>
  </si>
  <si>
    <t>Cine_Photo</t>
  </si>
  <si>
    <t>Computers</t>
  </si>
  <si>
    <t>Computers_Accessories</t>
  </si>
  <si>
    <t>Consoles_Games</t>
  </si>
  <si>
    <t>Construction_Tools_Construction</t>
  </si>
  <si>
    <t>Construction_Tools_Lights</t>
  </si>
  <si>
    <t>Construction_Tools_Safety</t>
  </si>
  <si>
    <t>Cool_Stuff</t>
  </si>
  <si>
    <t>Costruction_Tools_Garden</t>
  </si>
  <si>
    <t>Costruction_Tools_Tools</t>
  </si>
  <si>
    <t>Diapers_And_Hygiene</t>
  </si>
  <si>
    <t>Drinks</t>
  </si>
  <si>
    <t>Dvds_Blu_Ray</t>
  </si>
  <si>
    <t>Electronics</t>
  </si>
  <si>
    <t>Fashio_Female_Clothing</t>
  </si>
  <si>
    <t>Fashion_Bags_Accessories</t>
  </si>
  <si>
    <t>Fashion_Childrens_Clothes</t>
  </si>
  <si>
    <t>Fashion_Male_Clothing</t>
  </si>
  <si>
    <t>Fashion_Shoes</t>
  </si>
  <si>
    <t>Fashion_Sport</t>
  </si>
  <si>
    <t>Fashion_Underwear_Beach</t>
  </si>
  <si>
    <t>Fixed_Telephony</t>
  </si>
  <si>
    <t>Flowers</t>
  </si>
  <si>
    <t>Food</t>
  </si>
  <si>
    <t>Food_Drink</t>
  </si>
  <si>
    <t>Furniture_Bedroom</t>
  </si>
  <si>
    <t>Furniture_Decor</t>
  </si>
  <si>
    <t>Furniture_Living_Room</t>
  </si>
  <si>
    <t>Furniture_Mattress_And_Upholstery</t>
  </si>
  <si>
    <t>Garden_Tools</t>
  </si>
  <si>
    <t>Health_Beauty</t>
  </si>
  <si>
    <t>Home_Appliances</t>
  </si>
  <si>
    <t>Home_Appliances_2</t>
  </si>
  <si>
    <t>Home_Comfort_2</t>
  </si>
  <si>
    <t>Home_Confort</t>
  </si>
  <si>
    <t>Home_Construction</t>
  </si>
  <si>
    <t>Housewares</t>
  </si>
  <si>
    <t>Industry_Commerce_And_Business</t>
  </si>
  <si>
    <t>Kitchen_Dining_Laundry_Garden_Furniture</t>
  </si>
  <si>
    <t>La_Cuisine</t>
  </si>
  <si>
    <t>Luggage_Accessories</t>
  </si>
  <si>
    <t>Market_Place</t>
  </si>
  <si>
    <t>Music</t>
  </si>
  <si>
    <t>Musical_Instruments</t>
  </si>
  <si>
    <t>Office_Furniture</t>
  </si>
  <si>
    <t>Party_Supplies</t>
  </si>
  <si>
    <t>Perfumery</t>
  </si>
  <si>
    <t>Pet_Shop</t>
  </si>
  <si>
    <t>Security_And_Services</t>
  </si>
  <si>
    <t>Signaling_And_Security</t>
  </si>
  <si>
    <t>Small_Appliances</t>
  </si>
  <si>
    <t>Small_Appliances_Home_Oven_And_Coffee</t>
  </si>
  <si>
    <t>Sports_Leisure</t>
  </si>
  <si>
    <t>Stationery</t>
  </si>
  <si>
    <t>Tablets_Printing_Image</t>
  </si>
  <si>
    <t>Telephony</t>
  </si>
  <si>
    <t>Toys</t>
  </si>
  <si>
    <t>Watches_Gifts</t>
  </si>
  <si>
    <t>customer_segment</t>
  </si>
  <si>
    <t>Repeat_Buyer</t>
  </si>
  <si>
    <t>Total_Customers</t>
  </si>
  <si>
    <t>Average_Purchase_Frequency</t>
  </si>
  <si>
    <t>Yes</t>
  </si>
  <si>
    <t>Loyal</t>
  </si>
  <si>
    <t>No</t>
  </si>
  <si>
    <t>New</t>
  </si>
  <si>
    <t>Returning</t>
  </si>
  <si>
    <t>Average_Review_Score</t>
  </si>
  <si>
    <t>Total_Reviews</t>
  </si>
  <si>
    <t>Delivery_Status</t>
  </si>
  <si>
    <t>Delayed</t>
  </si>
  <si>
    <t>On Time</t>
  </si>
  <si>
    <t>Row Labels</t>
  </si>
  <si>
    <t>(blank)</t>
  </si>
  <si>
    <t>Grand Total</t>
  </si>
  <si>
    <t>Sum of Total_Revenue</t>
  </si>
  <si>
    <t>Sum of Average_Order_Value</t>
  </si>
  <si>
    <t>Column Labels</t>
  </si>
  <si>
    <t>Sum of Total_Customers</t>
  </si>
  <si>
    <t>Sum of Average_Review_Score</t>
  </si>
  <si>
    <t>Sum of Total_Reviews</t>
  </si>
  <si>
    <t>🛒 Average Order Value</t>
  </si>
  <si>
    <t xml:space="preserve">                           Total Revenue</t>
  </si>
  <si>
    <t>👥 Total Customers</t>
  </si>
  <si>
    <t>Repeat Buyer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</si>
</sst>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66003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FF99CC"/>
      <color rgb="FFFF66FF"/>
      <color rgb="FFCC66FF"/>
      <color rgb="FFFFFFFF"/>
      <color rgb="FF660033"/>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[RetailTech_excel_dashboard.xlsx]Sales Summary!PivotTable1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Revenue by Category</a:t>
            </a:r>
            <a:endParaRPr lang="en-US" b="1"/>
          </a:p>
        </c:rich>
      </c:tx>
      <c:layout>
        <c:manualLayout>
          <c:xMode val="edge"/>
          <c:yMode val="edge"/>
          <c:x val="0.39200959004292302"/>
          <c:y val="7.56393377749784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Summary'!$G$3</c:f>
              <c:strCache>
                <c:ptCount val="1"/>
                <c:pt idx="0">
                  <c:v>Total</c:v>
                </c:pt>
              </c:strCache>
            </c:strRef>
          </c:tx>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Summary'!$F$4:$F$14</c:f>
              <c:strCache>
                <c:ptCount val="10"/>
                <c:pt idx="0">
                  <c:v>Auto</c:v>
                </c:pt>
                <c:pt idx="1">
                  <c:v>Bed_Bath_Table</c:v>
                </c:pt>
                <c:pt idx="2">
                  <c:v>Computers_Accessories</c:v>
                </c:pt>
                <c:pt idx="3">
                  <c:v>Furniture_Decor</c:v>
                </c:pt>
                <c:pt idx="4">
                  <c:v>Health_Beauty</c:v>
                </c:pt>
                <c:pt idx="5">
                  <c:v>Housewares</c:v>
                </c:pt>
                <c:pt idx="6">
                  <c:v>Sports_Leisure</c:v>
                </c:pt>
                <c:pt idx="7">
                  <c:v>Telephony</c:v>
                </c:pt>
                <c:pt idx="8">
                  <c:v>Toys</c:v>
                </c:pt>
                <c:pt idx="9">
                  <c:v>Watches_Gifts</c:v>
                </c:pt>
              </c:strCache>
            </c:strRef>
          </c:cat>
          <c:val>
            <c:numRef>
              <c:f>'Sales Summary'!$G$4:$G$14</c:f>
              <c:numCache>
                <c:formatCode>0.00</c:formatCode>
                <c:ptCount val="10"/>
                <c:pt idx="0">
                  <c:v>582614748.64199567</c:v>
                </c:pt>
                <c:pt idx="1">
                  <c:v>1088635622.5939415</c:v>
                </c:pt>
                <c:pt idx="2">
                  <c:v>575756372.83798873</c:v>
                </c:pt>
                <c:pt idx="3">
                  <c:v>1114037603.5879874</c:v>
                </c:pt>
                <c:pt idx="4">
                  <c:v>879417783.62096739</c:v>
                </c:pt>
                <c:pt idx="5">
                  <c:v>836688030.46598494</c:v>
                </c:pt>
                <c:pt idx="6">
                  <c:v>1045712435.5229565</c:v>
                </c:pt>
                <c:pt idx="7">
                  <c:v>384821123.98300844</c:v>
                </c:pt>
                <c:pt idx="8">
                  <c:v>513758134.16301233</c:v>
                </c:pt>
                <c:pt idx="9">
                  <c:v>472548384.19499761</c:v>
                </c:pt>
              </c:numCache>
            </c:numRef>
          </c:val>
          <c:extLst>
            <c:ext xmlns:c16="http://schemas.microsoft.com/office/drawing/2014/chart" uri="{C3380CC4-5D6E-409C-BE32-E72D297353CC}">
              <c16:uniqueId val="{00000000-3155-4D26-B15A-CA4C22486BFE}"/>
            </c:ext>
          </c:extLst>
        </c:ser>
        <c:dLbls>
          <c:dLblPos val="outEnd"/>
          <c:showLegendKey val="0"/>
          <c:showVal val="1"/>
          <c:showCatName val="0"/>
          <c:showSerName val="0"/>
          <c:showPercent val="0"/>
          <c:showBubbleSize val="0"/>
        </c:dLbls>
        <c:gapWidth val="100"/>
        <c:axId val="485934048"/>
        <c:axId val="836868928"/>
      </c:barChart>
      <c:catAx>
        <c:axId val="485934048"/>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68928"/>
        <c:crossesAt val="0"/>
        <c:auto val="1"/>
        <c:lblAlgn val="ctr"/>
        <c:lblOffset val="100"/>
        <c:noMultiLvlLbl val="0"/>
      </c:catAx>
      <c:valAx>
        <c:axId val="836868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3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[RetailTech_excel_dashboard.xlsx]Sales Summary!PivotTable8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 </a:t>
            </a:r>
            <a:r>
              <a:rPr lang="en-US" sz="1400" b="1" i="0" u="none" strike="noStrike" baseline="0">
                <a:solidFill>
                  <a:sysClr val="windowText" lastClr="000000"/>
                </a:solidFill>
              </a:rPr>
              <a:t>Order Distribution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marker>
          <c:symbol val="none"/>
        </c:marker>
      </c:pivotFmt>
      <c:pivotFmt>
        <c:idx val="1"/>
        <c:spPr>
          <a:solidFill>
            <a:schemeClr val="accent1"/>
          </a:solidFill>
          <a:ln w="28575" cap="rnd">
            <a:solidFill>
              <a:srgbClr val="00B050"/>
            </a:solidFill>
            <a:round/>
          </a:ln>
          <a:effectLst/>
        </c:spPr>
        <c:marker>
          <c:symbol val="none"/>
        </c:marker>
      </c:pivotFmt>
      <c:pivotFmt>
        <c:idx val="2"/>
        <c:spPr>
          <a:solidFill>
            <a:schemeClr val="tx1">
              <a:lumMod val="95000"/>
              <a:lumOff val="5000"/>
            </a:schemeClr>
          </a:solidFill>
          <a:ln>
            <a:noFill/>
          </a:ln>
          <a:effectLst/>
        </c:spPr>
        <c:marker>
          <c:symbol val="none"/>
        </c:marker>
      </c:pivotFmt>
      <c:pivotFmt>
        <c:idx val="3"/>
        <c:spPr>
          <a:solidFill>
            <a:schemeClr val="accent1"/>
          </a:solidFill>
          <a:ln w="28575" cap="rnd">
            <a:solidFill>
              <a:srgbClr val="00B050"/>
            </a:solidFill>
            <a:round/>
          </a:ln>
          <a:effectLst/>
        </c:spPr>
        <c:marker>
          <c:symbol val="none"/>
        </c:marker>
      </c:pivotFmt>
      <c:pivotFmt>
        <c:idx val="4"/>
        <c:spPr>
          <a:solidFill>
            <a:schemeClr val="tx1">
              <a:lumMod val="95000"/>
              <a:lumOff val="5000"/>
            </a:schemeClr>
          </a:solidFill>
          <a:ln>
            <a:noFill/>
          </a:ln>
          <a:effectLst/>
        </c:spPr>
        <c:marker>
          <c:symbol val="none"/>
        </c:marker>
      </c:pivotFmt>
      <c:pivotFmt>
        <c:idx val="5"/>
        <c:spPr>
          <a:ln w="28575" cap="rnd">
            <a:solidFill>
              <a:srgbClr val="00B050"/>
            </a:solidFill>
            <a:round/>
          </a:ln>
          <a:effectLst/>
        </c:spPr>
        <c:marker>
          <c:symbol val="none"/>
        </c:marker>
      </c:pivotFmt>
    </c:pivotFmts>
    <c:plotArea>
      <c:layout>
        <c:manualLayout>
          <c:layoutTarget val="inner"/>
          <c:xMode val="edge"/>
          <c:yMode val="edge"/>
          <c:x val="0.11583406368682442"/>
          <c:y val="0.34507664383015135"/>
          <c:w val="0.41052789781468102"/>
          <c:h val="0.46815732302974733"/>
        </c:manualLayout>
      </c:layout>
      <c:barChart>
        <c:barDir val="col"/>
        <c:grouping val="clustered"/>
        <c:varyColors val="0"/>
        <c:ser>
          <c:idx val="0"/>
          <c:order val="0"/>
          <c:tx>
            <c:strRef>
              <c:f>'Sales Summary'!$G$31</c:f>
              <c:strCache>
                <c:ptCount val="1"/>
                <c:pt idx="0">
                  <c:v>Sum of Total_Revenue</c:v>
                </c:pt>
              </c:strCache>
            </c:strRef>
          </c:tx>
          <c:spPr>
            <a:solidFill>
              <a:schemeClr val="tx1">
                <a:lumMod val="95000"/>
                <a:lumOff val="5000"/>
              </a:schemeClr>
            </a:solidFill>
            <a:ln>
              <a:noFill/>
            </a:ln>
            <a:effectLst/>
          </c:spPr>
          <c:invertIfNegative val="0"/>
          <c:cat>
            <c:strRef>
              <c:f>'Sales Summary'!$F$32:$F$104</c:f>
              <c:strCache>
                <c:ptCount val="72"/>
                <c:pt idx="0">
                  <c:v>Agro_Industry_And_Commerce</c:v>
                </c:pt>
                <c:pt idx="1">
                  <c:v>Air_Conditioning</c:v>
                </c:pt>
                <c:pt idx="2">
                  <c:v>Art</c:v>
                </c:pt>
                <c:pt idx="3">
                  <c:v>Arts_And_Craftmanship</c:v>
                </c:pt>
                <c:pt idx="4">
                  <c:v>Audio</c:v>
                </c:pt>
                <c:pt idx="5">
                  <c:v>Auto</c:v>
                </c:pt>
                <c:pt idx="6">
                  <c:v>Baby</c:v>
                </c:pt>
                <c:pt idx="7">
                  <c:v>Bed_Bath_Table</c:v>
                </c:pt>
                <c:pt idx="8">
                  <c:v>Books_General_Interest</c:v>
                </c:pt>
                <c:pt idx="9">
                  <c:v>Books_Imported</c:v>
                </c:pt>
                <c:pt idx="10">
                  <c:v>Books_Technical</c:v>
                </c:pt>
                <c:pt idx="11">
                  <c:v>Cds_Dvds_Musicals</c:v>
                </c:pt>
                <c:pt idx="12">
                  <c:v>Christmas_Supplies</c:v>
                </c:pt>
                <c:pt idx="13">
                  <c:v>Cine_Photo</c:v>
                </c:pt>
                <c:pt idx="14">
                  <c:v>Computers</c:v>
                </c:pt>
                <c:pt idx="15">
                  <c:v>Computers_Accessories</c:v>
                </c:pt>
                <c:pt idx="16">
                  <c:v>Consoles_Games</c:v>
                </c:pt>
                <c:pt idx="17">
                  <c:v>Construction_Tools_Construction</c:v>
                </c:pt>
                <c:pt idx="18">
                  <c:v>Construction_Tools_Lights</c:v>
                </c:pt>
                <c:pt idx="19">
                  <c:v>Construction_Tools_Safety</c:v>
                </c:pt>
                <c:pt idx="20">
                  <c:v>Cool_Stuff</c:v>
                </c:pt>
                <c:pt idx="21">
                  <c:v>Costruction_Tools_Garden</c:v>
                </c:pt>
                <c:pt idx="22">
                  <c:v>Costruction_Tools_Tools</c:v>
                </c:pt>
                <c:pt idx="23">
                  <c:v>Diapers_And_Hygiene</c:v>
                </c:pt>
                <c:pt idx="24">
                  <c:v>Drinks</c:v>
                </c:pt>
                <c:pt idx="25">
                  <c:v>Dvds_Blu_Ray</c:v>
                </c:pt>
                <c:pt idx="26">
                  <c:v>Electronics</c:v>
                </c:pt>
                <c:pt idx="27">
                  <c:v>Fashio_Female_Clothing</c:v>
                </c:pt>
                <c:pt idx="28">
                  <c:v>Fashion_Bags_Accessories</c:v>
                </c:pt>
                <c:pt idx="29">
                  <c:v>Fashion_Childrens_Clothes</c:v>
                </c:pt>
                <c:pt idx="30">
                  <c:v>Fashion_Male_Clothing</c:v>
                </c:pt>
                <c:pt idx="31">
                  <c:v>Fashion_Shoes</c:v>
                </c:pt>
                <c:pt idx="32">
                  <c:v>Fashion_Sport</c:v>
                </c:pt>
                <c:pt idx="33">
                  <c:v>Fashion_Underwear_Beach</c:v>
                </c:pt>
                <c:pt idx="34">
                  <c:v>Fixed_Telephony</c:v>
                </c:pt>
                <c:pt idx="35">
                  <c:v>Flowers</c:v>
                </c:pt>
                <c:pt idx="36">
                  <c:v>Food</c:v>
                </c:pt>
                <c:pt idx="37">
                  <c:v>Food_Drink</c:v>
                </c:pt>
                <c:pt idx="38">
                  <c:v>Furniture_Bedroom</c:v>
                </c:pt>
                <c:pt idx="39">
                  <c:v>Furniture_Decor</c:v>
                </c:pt>
                <c:pt idx="40">
                  <c:v>Furniture_Living_Room</c:v>
                </c:pt>
                <c:pt idx="41">
                  <c:v>Furniture_Mattress_And_Upholstery</c:v>
                </c:pt>
                <c:pt idx="42">
                  <c:v>Garden_Tools</c:v>
                </c:pt>
                <c:pt idx="43">
                  <c:v>Health_Beauty</c:v>
                </c:pt>
                <c:pt idx="44">
                  <c:v>Home_Appliances</c:v>
                </c:pt>
                <c:pt idx="45">
                  <c:v>Home_Appliances_2</c:v>
                </c:pt>
                <c:pt idx="46">
                  <c:v>Home_Comfort_2</c:v>
                </c:pt>
                <c:pt idx="47">
                  <c:v>Home_Confort</c:v>
                </c:pt>
                <c:pt idx="48">
                  <c:v>Home_Construction</c:v>
                </c:pt>
                <c:pt idx="49">
                  <c:v>Housewares</c:v>
                </c:pt>
                <c:pt idx="50">
                  <c:v>Industry_Commerce_And_Business</c:v>
                </c:pt>
                <c:pt idx="51">
                  <c:v>Kitchen_Dining_Laundry_Garden_Furniture</c:v>
                </c:pt>
                <c:pt idx="52">
                  <c:v>La_Cuisine</c:v>
                </c:pt>
                <c:pt idx="53">
                  <c:v>Luggage_Accessories</c:v>
                </c:pt>
                <c:pt idx="54">
                  <c:v>Market_Place</c:v>
                </c:pt>
                <c:pt idx="55">
                  <c:v>Music</c:v>
                </c:pt>
                <c:pt idx="56">
                  <c:v>Musical_Instruments</c:v>
                </c:pt>
                <c:pt idx="57">
                  <c:v>Office_Furniture</c:v>
                </c:pt>
                <c:pt idx="58">
                  <c:v>Party_Supplies</c:v>
                </c:pt>
                <c:pt idx="59">
                  <c:v>Perfumery</c:v>
                </c:pt>
                <c:pt idx="60">
                  <c:v>Pet_Shop</c:v>
                </c:pt>
                <c:pt idx="61">
                  <c:v>Security_And_Services</c:v>
                </c:pt>
                <c:pt idx="62">
                  <c:v>Signaling_And_Security</c:v>
                </c:pt>
                <c:pt idx="63">
                  <c:v>Small_Appliances</c:v>
                </c:pt>
                <c:pt idx="64">
                  <c:v>Small_Appliances_Home_Oven_And_Coffee</c:v>
                </c:pt>
                <c:pt idx="65">
                  <c:v>Sports_Leisure</c:v>
                </c:pt>
                <c:pt idx="66">
                  <c:v>Stationery</c:v>
                </c:pt>
                <c:pt idx="67">
                  <c:v>Tablets_Printing_Image</c:v>
                </c:pt>
                <c:pt idx="68">
                  <c:v>Telephony</c:v>
                </c:pt>
                <c:pt idx="69">
                  <c:v>Toys</c:v>
                </c:pt>
                <c:pt idx="70">
                  <c:v>Watches_Gifts</c:v>
                </c:pt>
                <c:pt idx="71">
                  <c:v>(blank)</c:v>
                </c:pt>
              </c:strCache>
            </c:strRef>
          </c:cat>
          <c:val>
            <c:numRef>
              <c:f>'Sales Summary'!$G$32:$G$104</c:f>
              <c:numCache>
                <c:formatCode>General</c:formatCode>
                <c:ptCount val="72"/>
                <c:pt idx="0">
                  <c:v>28324410.778000023</c:v>
                </c:pt>
                <c:pt idx="1">
                  <c:v>48520972.90999981</c:v>
                </c:pt>
                <c:pt idx="2">
                  <c:v>13150660.755999999</c:v>
                </c:pt>
                <c:pt idx="3">
                  <c:v>5519837.123000036</c:v>
                </c:pt>
                <c:pt idx="4">
                  <c:v>15309562.157999996</c:v>
                </c:pt>
                <c:pt idx="5">
                  <c:v>582614748.64199567</c:v>
                </c:pt>
                <c:pt idx="6">
                  <c:v>336341199.57000065</c:v>
                </c:pt>
                <c:pt idx="7">
                  <c:v>1088635622.5939415</c:v>
                </c:pt>
                <c:pt idx="8">
                  <c:v>58604853.052999385</c:v>
                </c:pt>
                <c:pt idx="9">
                  <c:v>6996074.3379999679</c:v>
                </c:pt>
                <c:pt idx="10">
                  <c:v>39249604.014000297</c:v>
                </c:pt>
                <c:pt idx="11">
                  <c:v>1019209.960000001</c:v>
                </c:pt>
                <c:pt idx="12">
                  <c:v>24714953.862000175</c:v>
                </c:pt>
                <c:pt idx="13">
                  <c:v>12376800.464000039</c:v>
                </c:pt>
                <c:pt idx="14">
                  <c:v>9928353.4410000127</c:v>
                </c:pt>
                <c:pt idx="15">
                  <c:v>575756372.83798873</c:v>
                </c:pt>
                <c:pt idx="16">
                  <c:v>111144416.95500065</c:v>
                </c:pt>
                <c:pt idx="17">
                  <c:v>144518863.85200012</c:v>
                </c:pt>
                <c:pt idx="18">
                  <c:v>29064888.169000063</c:v>
                </c:pt>
                <c:pt idx="19">
                  <c:v>28336907.244000208</c:v>
                </c:pt>
                <c:pt idx="20">
                  <c:v>290511780.75801092</c:v>
                </c:pt>
                <c:pt idx="21">
                  <c:v>32239451.045999862</c:v>
                </c:pt>
                <c:pt idx="22">
                  <c:v>13908117.511999998</c:v>
                </c:pt>
                <c:pt idx="23">
                  <c:v>2454303.3310000016</c:v>
                </c:pt>
                <c:pt idx="24">
                  <c:v>26343777.516000014</c:v>
                </c:pt>
                <c:pt idx="25">
                  <c:v>14166874.84100006</c:v>
                </c:pt>
                <c:pt idx="26">
                  <c:v>198923471.18799824</c:v>
                </c:pt>
                <c:pt idx="27">
                  <c:v>8566203.7889999822</c:v>
                </c:pt>
                <c:pt idx="28">
                  <c:v>355340986.9119882</c:v>
                </c:pt>
                <c:pt idx="29">
                  <c:v>1406116.7349999887</c:v>
                </c:pt>
                <c:pt idx="30">
                  <c:v>39418235.616999514</c:v>
                </c:pt>
                <c:pt idx="31">
                  <c:v>76782652.24599877</c:v>
                </c:pt>
                <c:pt idx="32">
                  <c:v>9943328.2010000106</c:v>
                </c:pt>
                <c:pt idx="33">
                  <c:v>24491584.410000354</c:v>
                </c:pt>
                <c:pt idx="34">
                  <c:v>41348991.041000538</c:v>
                </c:pt>
                <c:pt idx="35">
                  <c:v>3646049.6989999935</c:v>
                </c:pt>
                <c:pt idx="36">
                  <c:v>32147923.281000137</c:v>
                </c:pt>
                <c:pt idx="37">
                  <c:v>45331932.442999773</c:v>
                </c:pt>
                <c:pt idx="38">
                  <c:v>16730352.405000005</c:v>
                </c:pt>
                <c:pt idx="39">
                  <c:v>1114037603.5879874</c:v>
                </c:pt>
                <c:pt idx="40">
                  <c:v>50351922.739000037</c:v>
                </c:pt>
                <c:pt idx="41">
                  <c:v>6356693.8880000003</c:v>
                </c:pt>
                <c:pt idx="42">
                  <c:v>275610174.62999654</c:v>
                </c:pt>
                <c:pt idx="43">
                  <c:v>879417783.62096739</c:v>
                </c:pt>
                <c:pt idx="44">
                  <c:v>168259482.36200052</c:v>
                </c:pt>
                <c:pt idx="45">
                  <c:v>46239201.771000288</c:v>
                </c:pt>
                <c:pt idx="46">
                  <c:v>7459950.9240000127</c:v>
                </c:pt>
                <c:pt idx="47">
                  <c:v>49033986.209000111</c:v>
                </c:pt>
                <c:pt idx="48">
                  <c:v>93756676.727000549</c:v>
                </c:pt>
                <c:pt idx="49">
                  <c:v>836688030.46598494</c:v>
                </c:pt>
                <c:pt idx="50">
                  <c:v>21890371.048000243</c:v>
                </c:pt>
                <c:pt idx="51">
                  <c:v>42212763.804999955</c:v>
                </c:pt>
                <c:pt idx="52">
                  <c:v>3638163.17199999</c:v>
                </c:pt>
                <c:pt idx="53">
                  <c:v>123117692.21199679</c:v>
                </c:pt>
                <c:pt idx="54">
                  <c:v>45965932.159999371</c:v>
                </c:pt>
                <c:pt idx="55">
                  <c:v>9799853.8789999615</c:v>
                </c:pt>
                <c:pt idx="56">
                  <c:v>102323426.87599881</c:v>
                </c:pt>
                <c:pt idx="57">
                  <c:v>135125843.79699785</c:v>
                </c:pt>
                <c:pt idx="58">
                  <c:v>7873593.4459999958</c:v>
                </c:pt>
                <c:pt idx="59">
                  <c:v>303001691.49200803</c:v>
                </c:pt>
                <c:pt idx="60">
                  <c:v>295047869.91600329</c:v>
                </c:pt>
                <c:pt idx="61">
                  <c:v>428334.95800000016</c:v>
                </c:pt>
                <c:pt idx="62">
                  <c:v>26340701.327999704</c:v>
                </c:pt>
                <c:pt idx="63">
                  <c:v>90153913.987999782</c:v>
                </c:pt>
                <c:pt idx="64">
                  <c:v>11997319.857999962</c:v>
                </c:pt>
                <c:pt idx="65">
                  <c:v>1045712435.5229565</c:v>
                </c:pt>
                <c:pt idx="66">
                  <c:v>233511781.98499176</c:v>
                </c:pt>
                <c:pt idx="67">
                  <c:v>4418167.3520000055</c:v>
                </c:pt>
                <c:pt idx="68">
                  <c:v>384821123.98300844</c:v>
                </c:pt>
                <c:pt idx="69">
                  <c:v>513758134.16301233</c:v>
                </c:pt>
                <c:pt idx="70">
                  <c:v>472548384.19499761</c:v>
                </c:pt>
              </c:numCache>
            </c:numRef>
          </c:val>
          <c:extLst>
            <c:ext xmlns:c16="http://schemas.microsoft.com/office/drawing/2014/chart" uri="{C3380CC4-5D6E-409C-BE32-E72D297353CC}">
              <c16:uniqueId val="{00000000-7528-4826-B95F-95444929E670}"/>
            </c:ext>
          </c:extLst>
        </c:ser>
        <c:dLbls>
          <c:showLegendKey val="0"/>
          <c:showVal val="0"/>
          <c:showCatName val="0"/>
          <c:showSerName val="0"/>
          <c:showPercent val="0"/>
          <c:showBubbleSize val="0"/>
        </c:dLbls>
        <c:gapWidth val="219"/>
        <c:axId val="381307672"/>
        <c:axId val="381310296"/>
      </c:barChart>
      <c:lineChart>
        <c:grouping val="standard"/>
        <c:varyColors val="0"/>
        <c:ser>
          <c:idx val="1"/>
          <c:order val="1"/>
          <c:tx>
            <c:strRef>
              <c:f>'Sales Summary'!$H$31</c:f>
              <c:strCache>
                <c:ptCount val="1"/>
                <c:pt idx="0">
                  <c:v>Sum of Average_Order_Value</c:v>
                </c:pt>
              </c:strCache>
            </c:strRef>
          </c:tx>
          <c:spPr>
            <a:ln w="28575" cap="rnd">
              <a:solidFill>
                <a:srgbClr val="00B050"/>
              </a:solidFill>
              <a:round/>
            </a:ln>
            <a:effectLst/>
          </c:spPr>
          <c:marker>
            <c:symbol val="none"/>
          </c:marker>
          <c:cat>
            <c:strRef>
              <c:f>'Sales Summary'!$F$32:$F$104</c:f>
              <c:strCache>
                <c:ptCount val="72"/>
                <c:pt idx="0">
                  <c:v>Agro_Industry_And_Commerce</c:v>
                </c:pt>
                <c:pt idx="1">
                  <c:v>Air_Conditioning</c:v>
                </c:pt>
                <c:pt idx="2">
                  <c:v>Art</c:v>
                </c:pt>
                <c:pt idx="3">
                  <c:v>Arts_And_Craftmanship</c:v>
                </c:pt>
                <c:pt idx="4">
                  <c:v>Audio</c:v>
                </c:pt>
                <c:pt idx="5">
                  <c:v>Auto</c:v>
                </c:pt>
                <c:pt idx="6">
                  <c:v>Baby</c:v>
                </c:pt>
                <c:pt idx="7">
                  <c:v>Bed_Bath_Table</c:v>
                </c:pt>
                <c:pt idx="8">
                  <c:v>Books_General_Interest</c:v>
                </c:pt>
                <c:pt idx="9">
                  <c:v>Books_Imported</c:v>
                </c:pt>
                <c:pt idx="10">
                  <c:v>Books_Technical</c:v>
                </c:pt>
                <c:pt idx="11">
                  <c:v>Cds_Dvds_Musicals</c:v>
                </c:pt>
                <c:pt idx="12">
                  <c:v>Christmas_Supplies</c:v>
                </c:pt>
                <c:pt idx="13">
                  <c:v>Cine_Photo</c:v>
                </c:pt>
                <c:pt idx="14">
                  <c:v>Computers</c:v>
                </c:pt>
                <c:pt idx="15">
                  <c:v>Computers_Accessories</c:v>
                </c:pt>
                <c:pt idx="16">
                  <c:v>Consoles_Games</c:v>
                </c:pt>
                <c:pt idx="17">
                  <c:v>Construction_Tools_Construction</c:v>
                </c:pt>
                <c:pt idx="18">
                  <c:v>Construction_Tools_Lights</c:v>
                </c:pt>
                <c:pt idx="19">
                  <c:v>Construction_Tools_Safety</c:v>
                </c:pt>
                <c:pt idx="20">
                  <c:v>Cool_Stuff</c:v>
                </c:pt>
                <c:pt idx="21">
                  <c:v>Costruction_Tools_Garden</c:v>
                </c:pt>
                <c:pt idx="22">
                  <c:v>Costruction_Tools_Tools</c:v>
                </c:pt>
                <c:pt idx="23">
                  <c:v>Diapers_And_Hygiene</c:v>
                </c:pt>
                <c:pt idx="24">
                  <c:v>Drinks</c:v>
                </c:pt>
                <c:pt idx="25">
                  <c:v>Dvds_Blu_Ray</c:v>
                </c:pt>
                <c:pt idx="26">
                  <c:v>Electronics</c:v>
                </c:pt>
                <c:pt idx="27">
                  <c:v>Fashio_Female_Clothing</c:v>
                </c:pt>
                <c:pt idx="28">
                  <c:v>Fashion_Bags_Accessories</c:v>
                </c:pt>
                <c:pt idx="29">
                  <c:v>Fashion_Childrens_Clothes</c:v>
                </c:pt>
                <c:pt idx="30">
                  <c:v>Fashion_Male_Clothing</c:v>
                </c:pt>
                <c:pt idx="31">
                  <c:v>Fashion_Shoes</c:v>
                </c:pt>
                <c:pt idx="32">
                  <c:v>Fashion_Sport</c:v>
                </c:pt>
                <c:pt idx="33">
                  <c:v>Fashion_Underwear_Beach</c:v>
                </c:pt>
                <c:pt idx="34">
                  <c:v>Fixed_Telephony</c:v>
                </c:pt>
                <c:pt idx="35">
                  <c:v>Flowers</c:v>
                </c:pt>
                <c:pt idx="36">
                  <c:v>Food</c:v>
                </c:pt>
                <c:pt idx="37">
                  <c:v>Food_Drink</c:v>
                </c:pt>
                <c:pt idx="38">
                  <c:v>Furniture_Bedroom</c:v>
                </c:pt>
                <c:pt idx="39">
                  <c:v>Furniture_Decor</c:v>
                </c:pt>
                <c:pt idx="40">
                  <c:v>Furniture_Living_Room</c:v>
                </c:pt>
                <c:pt idx="41">
                  <c:v>Furniture_Mattress_And_Upholstery</c:v>
                </c:pt>
                <c:pt idx="42">
                  <c:v>Garden_Tools</c:v>
                </c:pt>
                <c:pt idx="43">
                  <c:v>Health_Beauty</c:v>
                </c:pt>
                <c:pt idx="44">
                  <c:v>Home_Appliances</c:v>
                </c:pt>
                <c:pt idx="45">
                  <c:v>Home_Appliances_2</c:v>
                </c:pt>
                <c:pt idx="46">
                  <c:v>Home_Comfort_2</c:v>
                </c:pt>
                <c:pt idx="47">
                  <c:v>Home_Confort</c:v>
                </c:pt>
                <c:pt idx="48">
                  <c:v>Home_Construction</c:v>
                </c:pt>
                <c:pt idx="49">
                  <c:v>Housewares</c:v>
                </c:pt>
                <c:pt idx="50">
                  <c:v>Industry_Commerce_And_Business</c:v>
                </c:pt>
                <c:pt idx="51">
                  <c:v>Kitchen_Dining_Laundry_Garden_Furniture</c:v>
                </c:pt>
                <c:pt idx="52">
                  <c:v>La_Cuisine</c:v>
                </c:pt>
                <c:pt idx="53">
                  <c:v>Luggage_Accessories</c:v>
                </c:pt>
                <c:pt idx="54">
                  <c:v>Market_Place</c:v>
                </c:pt>
                <c:pt idx="55">
                  <c:v>Music</c:v>
                </c:pt>
                <c:pt idx="56">
                  <c:v>Musical_Instruments</c:v>
                </c:pt>
                <c:pt idx="57">
                  <c:v>Office_Furniture</c:v>
                </c:pt>
                <c:pt idx="58">
                  <c:v>Party_Supplies</c:v>
                </c:pt>
                <c:pt idx="59">
                  <c:v>Perfumery</c:v>
                </c:pt>
                <c:pt idx="60">
                  <c:v>Pet_Shop</c:v>
                </c:pt>
                <c:pt idx="61">
                  <c:v>Security_And_Services</c:v>
                </c:pt>
                <c:pt idx="62">
                  <c:v>Signaling_And_Security</c:v>
                </c:pt>
                <c:pt idx="63">
                  <c:v>Small_Appliances</c:v>
                </c:pt>
                <c:pt idx="64">
                  <c:v>Small_Appliances_Home_Oven_And_Coffee</c:v>
                </c:pt>
                <c:pt idx="65">
                  <c:v>Sports_Leisure</c:v>
                </c:pt>
                <c:pt idx="66">
                  <c:v>Stationery</c:v>
                </c:pt>
                <c:pt idx="67">
                  <c:v>Tablets_Printing_Image</c:v>
                </c:pt>
                <c:pt idx="68">
                  <c:v>Telephony</c:v>
                </c:pt>
                <c:pt idx="69">
                  <c:v>Toys</c:v>
                </c:pt>
                <c:pt idx="70">
                  <c:v>Watches_Gifts</c:v>
                </c:pt>
                <c:pt idx="71">
                  <c:v>(blank)</c:v>
                </c:pt>
              </c:strCache>
            </c:strRef>
          </c:cat>
          <c:val>
            <c:numRef>
              <c:f>'Sales Summary'!$H$32:$H$104</c:f>
              <c:numCache>
                <c:formatCode>General</c:formatCode>
                <c:ptCount val="72"/>
                <c:pt idx="0">
                  <c:v>5529.9513428348346</c:v>
                </c:pt>
                <c:pt idx="1">
                  <c:v>5978.4343161655752</c:v>
                </c:pt>
                <c:pt idx="2">
                  <c:v>4960.6415526216515</c:v>
                </c:pt>
                <c:pt idx="3">
                  <c:v>8931.7752799353329</c:v>
                </c:pt>
                <c:pt idx="4">
                  <c:v>33137.580428571418</c:v>
                </c:pt>
                <c:pt idx="5">
                  <c:v>6234.2408954351413</c:v>
                </c:pt>
                <c:pt idx="6">
                  <c:v>5801.8871430543004</c:v>
                </c:pt>
                <c:pt idx="7">
                  <c:v>5928.5160820246556</c:v>
                </c:pt>
                <c:pt idx="8">
                  <c:v>2284.61145536408</c:v>
                </c:pt>
                <c:pt idx="9">
                  <c:v>1913.5870727571028</c:v>
                </c:pt>
                <c:pt idx="10">
                  <c:v>2624.3383266916485</c:v>
                </c:pt>
                <c:pt idx="11">
                  <c:v>16986.832666666684</c:v>
                </c:pt>
                <c:pt idx="12">
                  <c:v>6143.4138359433691</c:v>
                </c:pt>
                <c:pt idx="13">
                  <c:v>6815.4187577092725</c:v>
                </c:pt>
                <c:pt idx="14">
                  <c:v>22771.452846330303</c:v>
                </c:pt>
                <c:pt idx="15">
                  <c:v>21599.503782937754</c:v>
                </c:pt>
                <c:pt idx="16">
                  <c:v>23044.664514824934</c:v>
                </c:pt>
                <c:pt idx="17">
                  <c:v>5820.8016695666229</c:v>
                </c:pt>
                <c:pt idx="18">
                  <c:v>5684.5077584588425</c:v>
                </c:pt>
                <c:pt idx="19">
                  <c:v>5174.7456617969701</c:v>
                </c:pt>
                <c:pt idx="20">
                  <c:v>6119.2581518275074</c:v>
                </c:pt>
                <c:pt idx="21">
                  <c:v>5707.1076378119778</c:v>
                </c:pt>
                <c:pt idx="22">
                  <c:v>7206.2785036269424</c:v>
                </c:pt>
                <c:pt idx="23">
                  <c:v>4765.637535922333</c:v>
                </c:pt>
                <c:pt idx="24">
                  <c:v>5938.6333444544662</c:v>
                </c:pt>
                <c:pt idx="25">
                  <c:v>4497.4205844444632</c:v>
                </c:pt>
                <c:pt idx="26">
                  <c:v>24452.793016348893</c:v>
                </c:pt>
                <c:pt idx="27">
                  <c:v>4374.9763988763953</c:v>
                </c:pt>
                <c:pt idx="28">
                  <c:v>3528.2534222194572</c:v>
                </c:pt>
                <c:pt idx="29">
                  <c:v>1955.6560987482458</c:v>
                </c:pt>
                <c:pt idx="30">
                  <c:v>3561.781477997607</c:v>
                </c:pt>
                <c:pt idx="31">
                  <c:v>3491.5489175571265</c:v>
                </c:pt>
                <c:pt idx="32">
                  <c:v>4215.0607041119165</c:v>
                </c:pt>
                <c:pt idx="33">
                  <c:v>3635.384356538571</c:v>
                </c:pt>
                <c:pt idx="34">
                  <c:v>5850.1685117431434</c:v>
                </c:pt>
                <c:pt idx="35">
                  <c:v>4304.6631629279736</c:v>
                </c:pt>
                <c:pt idx="36">
                  <c:v>5996.6281068830694</c:v>
                </c:pt>
                <c:pt idx="37">
                  <c:v>6747.8315634116962</c:v>
                </c:pt>
                <c:pt idx="38">
                  <c:v>33867.110131578956</c:v>
                </c:pt>
                <c:pt idx="39">
                  <c:v>29671.272667873738</c:v>
                </c:pt>
                <c:pt idx="40">
                  <c:v>37353.058411721096</c:v>
                </c:pt>
                <c:pt idx="41">
                  <c:v>33107.780666666666</c:v>
                </c:pt>
                <c:pt idx="42">
                  <c:v>6258.7468123807012</c:v>
                </c:pt>
                <c:pt idx="43">
                  <c:v>5998.1842363005399</c:v>
                </c:pt>
                <c:pt idx="44">
                  <c:v>33266.010747726476</c:v>
                </c:pt>
                <c:pt idx="45">
                  <c:v>26332.119459567362</c:v>
                </c:pt>
                <c:pt idx="46">
                  <c:v>90975.011268292845</c:v>
                </c:pt>
                <c:pt idx="47">
                  <c:v>37805.694841172022</c:v>
                </c:pt>
                <c:pt idx="48">
                  <c:v>32599.678973226895</c:v>
                </c:pt>
                <c:pt idx="49">
                  <c:v>5919.0550774007634</c:v>
                </c:pt>
                <c:pt idx="50">
                  <c:v>4828.0483123070671</c:v>
                </c:pt>
                <c:pt idx="51">
                  <c:v>33689.356588188311</c:v>
                </c:pt>
                <c:pt idx="52">
                  <c:v>6338.2633658536415</c:v>
                </c:pt>
                <c:pt idx="53">
                  <c:v>5831.0927447189915</c:v>
                </c:pt>
                <c:pt idx="54">
                  <c:v>6359.4261427779984</c:v>
                </c:pt>
                <c:pt idx="55">
                  <c:v>6375.9621854261295</c:v>
                </c:pt>
                <c:pt idx="56">
                  <c:v>5846.0507842083534</c:v>
                </c:pt>
                <c:pt idx="57">
                  <c:v>22611.419644745289</c:v>
                </c:pt>
                <c:pt idx="58">
                  <c:v>6961.6210839964597</c:v>
                </c:pt>
                <c:pt idx="59">
                  <c:v>2889.5831727256154</c:v>
                </c:pt>
                <c:pt idx="60">
                  <c:v>4806.2009466843128</c:v>
                </c:pt>
                <c:pt idx="61">
                  <c:v>8398.7246666666706</c:v>
                </c:pt>
                <c:pt idx="62">
                  <c:v>6197.8120771764006</c:v>
                </c:pt>
                <c:pt idx="63">
                  <c:v>6251.1381214810554</c:v>
                </c:pt>
                <c:pt idx="64">
                  <c:v>24139.476575452638</c:v>
                </c:pt>
                <c:pt idx="65">
                  <c:v>5961.8045149026611</c:v>
                </c:pt>
                <c:pt idx="66">
                  <c:v>2259.7987282377535</c:v>
                </c:pt>
                <c:pt idx="67">
                  <c:v>6144.8780973574485</c:v>
                </c:pt>
                <c:pt idx="68">
                  <c:v>6037.5462672661279</c:v>
                </c:pt>
                <c:pt idx="69">
                  <c:v>5782.43893124226</c:v>
                </c:pt>
                <c:pt idx="70">
                  <c:v>5883.614525063469</c:v>
                </c:pt>
              </c:numCache>
            </c:numRef>
          </c:val>
          <c:smooth val="0"/>
          <c:extLst>
            <c:ext xmlns:c16="http://schemas.microsoft.com/office/drawing/2014/chart" uri="{C3380CC4-5D6E-409C-BE32-E72D297353CC}">
              <c16:uniqueId val="{00000001-7528-4826-B95F-95444929E670}"/>
            </c:ext>
          </c:extLst>
        </c:ser>
        <c:dLbls>
          <c:showLegendKey val="0"/>
          <c:showVal val="0"/>
          <c:showCatName val="0"/>
          <c:showSerName val="0"/>
          <c:showPercent val="0"/>
          <c:showBubbleSize val="0"/>
        </c:dLbls>
        <c:marker val="1"/>
        <c:smooth val="0"/>
        <c:axId val="381313904"/>
        <c:axId val="381313576"/>
      </c:lineChart>
      <c:valAx>
        <c:axId val="381313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13904"/>
        <c:crosses val="autoZero"/>
        <c:crossBetween val="between"/>
      </c:valAx>
      <c:catAx>
        <c:axId val="381313904"/>
        <c:scaling>
          <c:orientation val="minMax"/>
        </c:scaling>
        <c:delete val="1"/>
        <c:axPos val="b"/>
        <c:numFmt formatCode="General" sourceLinked="1"/>
        <c:majorTickMark val="out"/>
        <c:minorTickMark val="none"/>
        <c:tickLblPos val="nextTo"/>
        <c:crossAx val="381313576"/>
        <c:crosses val="autoZero"/>
        <c:auto val="1"/>
        <c:lblAlgn val="ctr"/>
        <c:lblOffset val="100"/>
        <c:noMultiLvlLbl val="0"/>
      </c:catAx>
      <c:valAx>
        <c:axId val="381310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07672"/>
        <c:crosses val="max"/>
        <c:crossBetween val="between"/>
      </c:valAx>
      <c:catAx>
        <c:axId val="381307672"/>
        <c:scaling>
          <c:orientation val="minMax"/>
        </c:scaling>
        <c:delete val="1"/>
        <c:axPos val="b"/>
        <c:numFmt formatCode="General" sourceLinked="1"/>
        <c:majorTickMark val="out"/>
        <c:minorTickMark val="none"/>
        <c:tickLblPos val="nextTo"/>
        <c:crossAx val="381310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Retention!PivotTable4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s>
    <c:plotArea>
      <c:layout/>
      <c:pieChart>
        <c:varyColors val="1"/>
        <c:ser>
          <c:idx val="0"/>
          <c:order val="0"/>
          <c:tx>
            <c:strRef>
              <c:f>'Customer Retention'!$H$18</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DF9-46A8-8B93-CCB3827E8BD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6DF9-46A8-8B93-CCB3827E8BD3}"/>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6DF9-46A8-8B93-CCB3827E8B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Retention'!$G$19:$G$22</c:f>
              <c:strCache>
                <c:ptCount val="3"/>
                <c:pt idx="0">
                  <c:v>Loyal</c:v>
                </c:pt>
                <c:pt idx="1">
                  <c:v>Returning</c:v>
                </c:pt>
                <c:pt idx="2">
                  <c:v>New</c:v>
                </c:pt>
              </c:strCache>
            </c:strRef>
          </c:cat>
          <c:val>
            <c:numRef>
              <c:f>'Customer Retention'!$H$19:$H$22</c:f>
              <c:numCache>
                <c:formatCode>General</c:formatCode>
                <c:ptCount val="3"/>
                <c:pt idx="0">
                  <c:v>19773</c:v>
                </c:pt>
                <c:pt idx="1">
                  <c:v>47361</c:v>
                </c:pt>
                <c:pt idx="2">
                  <c:v>67273</c:v>
                </c:pt>
              </c:numCache>
            </c:numRef>
          </c:val>
          <c:extLst>
            <c:ext xmlns:c16="http://schemas.microsoft.com/office/drawing/2014/chart" uri="{C3380CC4-5D6E-409C-BE32-E72D297353CC}">
              <c16:uniqueId val="{00000006-6DF9-46A8-8B93-CCB3827E8B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Retention!PivotTable3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Repeat Buyer Distribution by Customer Segment</a:t>
            </a:r>
            <a:endParaRPr lang="en-US" sz="1800" b="1"/>
          </a:p>
        </c:rich>
      </c:tx>
      <c:layout>
        <c:manualLayout>
          <c:xMode val="edge"/>
          <c:yMode val="edge"/>
          <c:x val="0.33173120542778067"/>
          <c:y val="5.9488675679754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78390604350755E-2"/>
          <c:y val="0.13846490770183575"/>
          <c:w val="0.75748573299334809"/>
          <c:h val="0.37174138460198008"/>
        </c:manualLayout>
      </c:layout>
      <c:barChart>
        <c:barDir val="col"/>
        <c:grouping val="clustered"/>
        <c:varyColors val="0"/>
        <c:ser>
          <c:idx val="0"/>
          <c:order val="0"/>
          <c:tx>
            <c:strRef>
              <c:f>'Customer Retention'!$H$2:$H$3</c:f>
              <c:strCache>
                <c:ptCount val="1"/>
                <c:pt idx="0">
                  <c:v>No</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Retention'!$G$4:$G$14</c:f>
              <c:strCache>
                <c:ptCount val="10"/>
                <c:pt idx="0">
                  <c:v>Auto</c:v>
                </c:pt>
                <c:pt idx="1">
                  <c:v>Bed_Bath_Table</c:v>
                </c:pt>
                <c:pt idx="2">
                  <c:v>Fashion_Bags_Accessories</c:v>
                </c:pt>
                <c:pt idx="3">
                  <c:v>Health_Beauty</c:v>
                </c:pt>
                <c:pt idx="4">
                  <c:v>Housewares</c:v>
                </c:pt>
                <c:pt idx="5">
                  <c:v>Perfumery</c:v>
                </c:pt>
                <c:pt idx="6">
                  <c:v>Sports_Leisure</c:v>
                </c:pt>
                <c:pt idx="7">
                  <c:v>Stationery</c:v>
                </c:pt>
                <c:pt idx="8">
                  <c:v>Toys</c:v>
                </c:pt>
                <c:pt idx="9">
                  <c:v>Watches_Gifts</c:v>
                </c:pt>
              </c:strCache>
            </c:strRef>
          </c:cat>
          <c:val>
            <c:numRef>
              <c:f>'Customer Retention'!$H$4:$H$14</c:f>
              <c:numCache>
                <c:formatCode>General</c:formatCode>
                <c:ptCount val="10"/>
                <c:pt idx="0">
                  <c:v>3677</c:v>
                </c:pt>
                <c:pt idx="1">
                  <c:v>6980</c:v>
                </c:pt>
                <c:pt idx="2">
                  <c:v>3722</c:v>
                </c:pt>
                <c:pt idx="3">
                  <c:v>5534</c:v>
                </c:pt>
                <c:pt idx="4">
                  <c:v>5383</c:v>
                </c:pt>
                <c:pt idx="5">
                  <c:v>4041</c:v>
                </c:pt>
                <c:pt idx="6">
                  <c:v>6567</c:v>
                </c:pt>
                <c:pt idx="7">
                  <c:v>3948</c:v>
                </c:pt>
                <c:pt idx="8">
                  <c:v>3584</c:v>
                </c:pt>
                <c:pt idx="9">
                  <c:v>3133</c:v>
                </c:pt>
              </c:numCache>
            </c:numRef>
          </c:val>
          <c:extLst>
            <c:ext xmlns:c16="http://schemas.microsoft.com/office/drawing/2014/chart" uri="{C3380CC4-5D6E-409C-BE32-E72D297353CC}">
              <c16:uniqueId val="{00000000-719E-4693-8B9A-D4258FDBD32C}"/>
            </c:ext>
          </c:extLst>
        </c:ser>
        <c:ser>
          <c:idx val="1"/>
          <c:order val="1"/>
          <c:tx>
            <c:strRef>
              <c:f>'Customer Retention'!$I$2:$I$3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Retention'!$G$4:$G$14</c:f>
              <c:strCache>
                <c:ptCount val="10"/>
                <c:pt idx="0">
                  <c:v>Auto</c:v>
                </c:pt>
                <c:pt idx="1">
                  <c:v>Bed_Bath_Table</c:v>
                </c:pt>
                <c:pt idx="2">
                  <c:v>Fashion_Bags_Accessories</c:v>
                </c:pt>
                <c:pt idx="3">
                  <c:v>Health_Beauty</c:v>
                </c:pt>
                <c:pt idx="4">
                  <c:v>Housewares</c:v>
                </c:pt>
                <c:pt idx="5">
                  <c:v>Perfumery</c:v>
                </c:pt>
                <c:pt idx="6">
                  <c:v>Sports_Leisure</c:v>
                </c:pt>
                <c:pt idx="7">
                  <c:v>Stationery</c:v>
                </c:pt>
                <c:pt idx="8">
                  <c:v>Toys</c:v>
                </c:pt>
                <c:pt idx="9">
                  <c:v>Watches_Gifts</c:v>
                </c:pt>
              </c:strCache>
            </c:strRef>
          </c:cat>
          <c:val>
            <c:numRef>
              <c:f>'Customer Retention'!$I$4:$I$14</c:f>
              <c:numCache>
                <c:formatCode>General</c:formatCode>
                <c:ptCount val="10"/>
                <c:pt idx="0">
                  <c:v>3223</c:v>
                </c:pt>
                <c:pt idx="1">
                  <c:v>5610</c:v>
                </c:pt>
                <c:pt idx="2">
                  <c:v>3272</c:v>
                </c:pt>
                <c:pt idx="3">
                  <c:v>4767</c:v>
                </c:pt>
                <c:pt idx="4">
                  <c:v>4707</c:v>
                </c:pt>
                <c:pt idx="5">
                  <c:v>3346</c:v>
                </c:pt>
                <c:pt idx="6">
                  <c:v>5542</c:v>
                </c:pt>
                <c:pt idx="7">
                  <c:v>3312</c:v>
                </c:pt>
                <c:pt idx="8">
                  <c:v>2998</c:v>
                </c:pt>
                <c:pt idx="9">
                  <c:v>2801</c:v>
                </c:pt>
              </c:numCache>
            </c:numRef>
          </c:val>
          <c:extLst>
            <c:ext xmlns:c16="http://schemas.microsoft.com/office/drawing/2014/chart" uri="{C3380CC4-5D6E-409C-BE32-E72D297353CC}">
              <c16:uniqueId val="{00000002-719E-4693-8B9A-D4258FDBD32C}"/>
            </c:ext>
          </c:extLst>
        </c:ser>
        <c:dLbls>
          <c:dLblPos val="outEnd"/>
          <c:showLegendKey val="0"/>
          <c:showVal val="1"/>
          <c:showCatName val="0"/>
          <c:showSerName val="0"/>
          <c:showPercent val="0"/>
          <c:showBubbleSize val="0"/>
        </c:dLbls>
        <c:gapWidth val="219"/>
        <c:overlap val="-27"/>
        <c:axId val="33214815"/>
        <c:axId val="33213831"/>
      </c:barChart>
      <c:catAx>
        <c:axId val="33214815"/>
        <c:scaling>
          <c:orientation val="minMax"/>
        </c:scaling>
        <c:delete val="0"/>
        <c:axPos val="b"/>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3831"/>
        <c:crosses val="autoZero"/>
        <c:auto val="1"/>
        <c:lblAlgn val="ctr"/>
        <c:lblOffset val="100"/>
        <c:noMultiLvlLbl val="0"/>
      </c:catAx>
      <c:valAx>
        <c:axId val="332138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4815"/>
        <c:crosses val="autoZero"/>
        <c:crossBetween val="between"/>
      </c:valAx>
      <c:spPr>
        <a:noFill/>
        <a:ln>
          <a:noFill/>
        </a:ln>
        <a:effectLst/>
      </c:spPr>
    </c:plotArea>
    <c:legend>
      <c:legendPos val="r"/>
      <c:layout>
        <c:manualLayout>
          <c:xMode val="edge"/>
          <c:yMode val="edge"/>
          <c:x val="0.87253937007874016"/>
          <c:y val="0.27998797458964858"/>
          <c:w val="0.12746069034122121"/>
          <c:h val="0.21840841015199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Satisfaction!PivotTable21</c:name>
    <c:fmtId val="6"/>
  </c:pivotSource>
  <c:chart>
    <c:autoTitleDeleted val="1"/>
    <c:pivotFmts>
      <c:pivotFmt>
        <c:idx val="0"/>
        <c:spPr>
          <a:solidFill>
            <a:srgbClr val="00B0F0"/>
          </a:solidFill>
          <a:ln>
            <a:noFill/>
          </a:ln>
          <a:effectLst/>
        </c:spPr>
        <c:marker>
          <c:symbol val="none"/>
        </c:marker>
      </c:pivotFmt>
      <c:pivotFmt>
        <c:idx val="1"/>
        <c:spPr>
          <a:solidFill>
            <a:schemeClr val="accent1"/>
          </a:solidFill>
          <a:ln w="28575" cap="rnd">
            <a:solidFill>
              <a:srgbClr val="002060"/>
            </a:solidFill>
            <a:round/>
          </a:ln>
          <a:effectLst/>
        </c:spPr>
        <c:marker>
          <c:symbol val="none"/>
        </c:marker>
      </c:pivotFmt>
      <c:pivotFmt>
        <c:idx val="2"/>
        <c:spPr>
          <a:solidFill>
            <a:srgbClr val="00B0F0"/>
          </a:solidFill>
          <a:ln>
            <a:noFill/>
          </a:ln>
          <a:effectLst/>
        </c:spPr>
        <c:marker>
          <c:symbol val="none"/>
        </c:marker>
      </c:pivotFmt>
      <c:pivotFmt>
        <c:idx val="3"/>
        <c:spPr>
          <a:solidFill>
            <a:schemeClr val="accent1"/>
          </a:solidFill>
          <a:ln w="28575" cap="rnd">
            <a:solidFill>
              <a:srgbClr val="002060"/>
            </a:solidFill>
            <a:round/>
          </a:ln>
          <a:effectLst/>
        </c:spPr>
        <c:marker>
          <c:symbol val="none"/>
        </c:marker>
      </c:pivotFmt>
      <c:pivotFmt>
        <c:idx val="4"/>
        <c:spPr>
          <a:solidFill>
            <a:srgbClr val="00B0F0"/>
          </a:solidFill>
          <a:ln>
            <a:noFill/>
          </a:ln>
          <a:effectLst/>
        </c:spPr>
        <c:marker>
          <c:symbol val="none"/>
        </c:marker>
      </c:pivotFmt>
      <c:pivotFmt>
        <c:idx val="5"/>
        <c:spPr>
          <a:ln w="28575" cap="rnd">
            <a:solidFill>
              <a:srgbClr val="002060"/>
            </a:solidFill>
            <a:round/>
          </a:ln>
          <a:effectLst/>
        </c:spPr>
        <c:marker>
          <c:symbol val="none"/>
        </c:marker>
      </c:pivotFmt>
    </c:pivotFmts>
    <c:plotArea>
      <c:layout/>
      <c:barChart>
        <c:barDir val="col"/>
        <c:grouping val="clustered"/>
        <c:varyColors val="0"/>
        <c:ser>
          <c:idx val="0"/>
          <c:order val="0"/>
          <c:tx>
            <c:strRef>
              <c:f>'Customer Satisfaction'!$G$3</c:f>
              <c:strCache>
                <c:ptCount val="1"/>
                <c:pt idx="0">
                  <c:v>Sum of Total_Reviews</c:v>
                </c:pt>
              </c:strCache>
            </c:strRef>
          </c:tx>
          <c:spPr>
            <a:solidFill>
              <a:srgbClr val="00B0F0"/>
            </a:solidFill>
            <a:ln>
              <a:noFill/>
            </a:ln>
            <a:effectLst/>
          </c:spPr>
          <c:invertIfNegative val="0"/>
          <c:cat>
            <c:strRef>
              <c:f>'Customer Satisfaction'!$F$4:$F$69</c:f>
              <c:strCache>
                <c:ptCount val="65"/>
                <c:pt idx="0">
                  <c:v>Agro_Industry_And_Commerce</c:v>
                </c:pt>
                <c:pt idx="1">
                  <c:v>Air_Conditioning</c:v>
                </c:pt>
                <c:pt idx="2">
                  <c:v>Art</c:v>
                </c:pt>
                <c:pt idx="3">
                  <c:v>Arts_And_Craftmanship</c:v>
                </c:pt>
                <c:pt idx="4">
                  <c:v>Audio</c:v>
                </c:pt>
                <c:pt idx="5">
                  <c:v>Auto</c:v>
                </c:pt>
                <c:pt idx="6">
                  <c:v>Books_Technical</c:v>
                </c:pt>
                <c:pt idx="7">
                  <c:v>Cds_Dvds_Musicals</c:v>
                </c:pt>
                <c:pt idx="8">
                  <c:v>Christmas_Supplies</c:v>
                </c:pt>
                <c:pt idx="9">
                  <c:v>Cine_Photo</c:v>
                </c:pt>
                <c:pt idx="10">
                  <c:v>Computers</c:v>
                </c:pt>
                <c:pt idx="11">
                  <c:v>Computers_Accessories</c:v>
                </c:pt>
                <c:pt idx="12">
                  <c:v>Construction_Tools_Construction</c:v>
                </c:pt>
                <c:pt idx="13">
                  <c:v>Construction_Tools_Lights</c:v>
                </c:pt>
                <c:pt idx="14">
                  <c:v>Construction_Tools_Safety</c:v>
                </c:pt>
                <c:pt idx="15">
                  <c:v>Cool_Stuff</c:v>
                </c:pt>
                <c:pt idx="16">
                  <c:v>Costruction_Tools_Garden</c:v>
                </c:pt>
                <c:pt idx="17">
                  <c:v>Costruction_Tools_Tools</c:v>
                </c:pt>
                <c:pt idx="18">
                  <c:v>Diapers_And_Hygiene</c:v>
                </c:pt>
                <c:pt idx="19">
                  <c:v>Drinks</c:v>
                </c:pt>
                <c:pt idx="20">
                  <c:v>Dvds_Blu_Ray</c:v>
                </c:pt>
                <c:pt idx="21">
                  <c:v>Electronics</c:v>
                </c:pt>
                <c:pt idx="22">
                  <c:v>Fashio_Female_Clothing</c:v>
                </c:pt>
                <c:pt idx="23">
                  <c:v>Fashion_Bags_Accessories</c:v>
                </c:pt>
                <c:pt idx="24">
                  <c:v>Fashion_Childrens_Clothes</c:v>
                </c:pt>
                <c:pt idx="25">
                  <c:v>Fashion_Male_Clothing</c:v>
                </c:pt>
                <c:pt idx="26">
                  <c:v>Fashion_Shoes</c:v>
                </c:pt>
                <c:pt idx="27">
                  <c:v>Fashion_Sport</c:v>
                </c:pt>
                <c:pt idx="28">
                  <c:v>Fashion_Underwear_Beach</c:v>
                </c:pt>
                <c:pt idx="29">
                  <c:v>Fixed_Telephony</c:v>
                </c:pt>
                <c:pt idx="30">
                  <c:v>Flowers</c:v>
                </c:pt>
                <c:pt idx="31">
                  <c:v>Food</c:v>
                </c:pt>
                <c:pt idx="32">
                  <c:v>Food_Drink</c:v>
                </c:pt>
                <c:pt idx="33">
                  <c:v>Furniture_Bedroom</c:v>
                </c:pt>
                <c:pt idx="34">
                  <c:v>Furniture_Decor</c:v>
                </c:pt>
                <c:pt idx="35">
                  <c:v>Furniture_Living_Room</c:v>
                </c:pt>
                <c:pt idx="36">
                  <c:v>Furniture_Mattress_And_Upholstery</c:v>
                </c:pt>
                <c:pt idx="37">
                  <c:v>Garden_Tools</c:v>
                </c:pt>
                <c:pt idx="38">
                  <c:v>Health_Beauty</c:v>
                </c:pt>
                <c:pt idx="39">
                  <c:v>Home_Appliances</c:v>
                </c:pt>
                <c:pt idx="40">
                  <c:v>Home_Appliances_2</c:v>
                </c:pt>
                <c:pt idx="41">
                  <c:v>Home_Comfort_2</c:v>
                </c:pt>
                <c:pt idx="42">
                  <c:v>Home_Confort</c:v>
                </c:pt>
                <c:pt idx="43">
                  <c:v>Home_Construction</c:v>
                </c:pt>
                <c:pt idx="44">
                  <c:v>Housewares</c:v>
                </c:pt>
                <c:pt idx="45">
                  <c:v>Industry_Commerce_And_Business</c:v>
                </c:pt>
                <c:pt idx="46">
                  <c:v>Kitchen_Dining_Laundry_Garden_Furniture</c:v>
                </c:pt>
                <c:pt idx="47">
                  <c:v>La_Cuisine</c:v>
                </c:pt>
                <c:pt idx="48">
                  <c:v>Luggage_Accessories</c:v>
                </c:pt>
                <c:pt idx="49">
                  <c:v>Market_Place</c:v>
                </c:pt>
                <c:pt idx="50">
                  <c:v>Music</c:v>
                </c:pt>
                <c:pt idx="51">
                  <c:v>Musical_Instruments</c:v>
                </c:pt>
                <c:pt idx="52">
                  <c:v>Office_Furniture</c:v>
                </c:pt>
                <c:pt idx="53">
                  <c:v>Party_Supplies</c:v>
                </c:pt>
                <c:pt idx="54">
                  <c:v>Perfumery</c:v>
                </c:pt>
                <c:pt idx="55">
                  <c:v>Pet_Shop</c:v>
                </c:pt>
                <c:pt idx="56">
                  <c:v>Security_And_Services</c:v>
                </c:pt>
                <c:pt idx="57">
                  <c:v>Signaling_And_Security</c:v>
                </c:pt>
                <c:pt idx="58">
                  <c:v>Small_Appliances</c:v>
                </c:pt>
                <c:pt idx="59">
                  <c:v>Sports_Leisure</c:v>
                </c:pt>
                <c:pt idx="60">
                  <c:v>Stationery</c:v>
                </c:pt>
                <c:pt idx="61">
                  <c:v>Tablets_Printing_Image</c:v>
                </c:pt>
                <c:pt idx="62">
                  <c:v>Telephony</c:v>
                </c:pt>
                <c:pt idx="63">
                  <c:v>Toys</c:v>
                </c:pt>
                <c:pt idx="64">
                  <c:v>Watches_Gifts</c:v>
                </c:pt>
              </c:strCache>
            </c:strRef>
          </c:cat>
          <c:val>
            <c:numRef>
              <c:f>'Customer Satisfaction'!$G$4:$G$69</c:f>
              <c:numCache>
                <c:formatCode>General</c:formatCode>
                <c:ptCount val="65"/>
                <c:pt idx="0">
                  <c:v>5122</c:v>
                </c:pt>
                <c:pt idx="1">
                  <c:v>8116</c:v>
                </c:pt>
                <c:pt idx="2">
                  <c:v>2651</c:v>
                </c:pt>
                <c:pt idx="3">
                  <c:v>618</c:v>
                </c:pt>
                <c:pt idx="4">
                  <c:v>462</c:v>
                </c:pt>
                <c:pt idx="5">
                  <c:v>93454</c:v>
                </c:pt>
                <c:pt idx="6">
                  <c:v>14956</c:v>
                </c:pt>
                <c:pt idx="7">
                  <c:v>60</c:v>
                </c:pt>
                <c:pt idx="8">
                  <c:v>4023</c:v>
                </c:pt>
                <c:pt idx="9">
                  <c:v>1816</c:v>
                </c:pt>
                <c:pt idx="10">
                  <c:v>436</c:v>
                </c:pt>
                <c:pt idx="11">
                  <c:v>26656</c:v>
                </c:pt>
                <c:pt idx="12">
                  <c:v>24828</c:v>
                </c:pt>
                <c:pt idx="13">
                  <c:v>5113</c:v>
                </c:pt>
                <c:pt idx="14">
                  <c:v>5476</c:v>
                </c:pt>
                <c:pt idx="15">
                  <c:v>47475</c:v>
                </c:pt>
                <c:pt idx="16">
                  <c:v>5649</c:v>
                </c:pt>
                <c:pt idx="17">
                  <c:v>1930</c:v>
                </c:pt>
                <c:pt idx="18">
                  <c:v>515</c:v>
                </c:pt>
                <c:pt idx="19">
                  <c:v>4436</c:v>
                </c:pt>
                <c:pt idx="20">
                  <c:v>3150</c:v>
                </c:pt>
                <c:pt idx="21">
                  <c:v>8135</c:v>
                </c:pt>
                <c:pt idx="22">
                  <c:v>1958</c:v>
                </c:pt>
                <c:pt idx="23">
                  <c:v>100713</c:v>
                </c:pt>
                <c:pt idx="24">
                  <c:v>719</c:v>
                </c:pt>
                <c:pt idx="25">
                  <c:v>11067</c:v>
                </c:pt>
                <c:pt idx="26">
                  <c:v>21991</c:v>
                </c:pt>
                <c:pt idx="27">
                  <c:v>2359</c:v>
                </c:pt>
                <c:pt idx="28">
                  <c:v>6737</c:v>
                </c:pt>
                <c:pt idx="29">
                  <c:v>7068</c:v>
                </c:pt>
                <c:pt idx="30">
                  <c:v>847</c:v>
                </c:pt>
                <c:pt idx="31">
                  <c:v>5361</c:v>
                </c:pt>
                <c:pt idx="32">
                  <c:v>6718</c:v>
                </c:pt>
                <c:pt idx="33">
                  <c:v>494</c:v>
                </c:pt>
                <c:pt idx="34">
                  <c:v>37546</c:v>
                </c:pt>
                <c:pt idx="35">
                  <c:v>1348</c:v>
                </c:pt>
                <c:pt idx="36">
                  <c:v>192</c:v>
                </c:pt>
                <c:pt idx="37">
                  <c:v>44036</c:v>
                </c:pt>
                <c:pt idx="38">
                  <c:v>146614</c:v>
                </c:pt>
                <c:pt idx="39">
                  <c:v>5058</c:v>
                </c:pt>
                <c:pt idx="40">
                  <c:v>1756</c:v>
                </c:pt>
                <c:pt idx="41">
                  <c:v>82</c:v>
                </c:pt>
                <c:pt idx="42">
                  <c:v>1297</c:v>
                </c:pt>
                <c:pt idx="43">
                  <c:v>2876</c:v>
                </c:pt>
                <c:pt idx="44">
                  <c:v>141355</c:v>
                </c:pt>
                <c:pt idx="45">
                  <c:v>4534</c:v>
                </c:pt>
                <c:pt idx="46">
                  <c:v>1253</c:v>
                </c:pt>
                <c:pt idx="47">
                  <c:v>574</c:v>
                </c:pt>
                <c:pt idx="48">
                  <c:v>21114</c:v>
                </c:pt>
                <c:pt idx="49">
                  <c:v>7228</c:v>
                </c:pt>
                <c:pt idx="50">
                  <c:v>1537</c:v>
                </c:pt>
                <c:pt idx="51">
                  <c:v>17503</c:v>
                </c:pt>
                <c:pt idx="52">
                  <c:v>5976</c:v>
                </c:pt>
                <c:pt idx="53">
                  <c:v>1131</c:v>
                </c:pt>
                <c:pt idx="54">
                  <c:v>104860</c:v>
                </c:pt>
                <c:pt idx="55">
                  <c:v>61389</c:v>
                </c:pt>
                <c:pt idx="56">
                  <c:v>51</c:v>
                </c:pt>
                <c:pt idx="57">
                  <c:v>4250</c:v>
                </c:pt>
                <c:pt idx="58">
                  <c:v>14422</c:v>
                </c:pt>
                <c:pt idx="59">
                  <c:v>175402</c:v>
                </c:pt>
                <c:pt idx="60">
                  <c:v>103333</c:v>
                </c:pt>
                <c:pt idx="61">
                  <c:v>719</c:v>
                </c:pt>
                <c:pt idx="62">
                  <c:v>63738</c:v>
                </c:pt>
                <c:pt idx="63">
                  <c:v>88848</c:v>
                </c:pt>
                <c:pt idx="64">
                  <c:v>80316</c:v>
                </c:pt>
              </c:numCache>
            </c:numRef>
          </c:val>
          <c:extLst>
            <c:ext xmlns:c16="http://schemas.microsoft.com/office/drawing/2014/chart" uri="{C3380CC4-5D6E-409C-BE32-E72D297353CC}">
              <c16:uniqueId val="{00000000-0831-45F8-AADA-8637BF65D0DA}"/>
            </c:ext>
          </c:extLst>
        </c:ser>
        <c:dLbls>
          <c:showLegendKey val="0"/>
          <c:showVal val="0"/>
          <c:showCatName val="0"/>
          <c:showSerName val="0"/>
          <c:showPercent val="0"/>
          <c:showBubbleSize val="0"/>
        </c:dLbls>
        <c:gapWidth val="219"/>
        <c:overlap val="-27"/>
        <c:axId val="52325431"/>
        <c:axId val="52323791"/>
      </c:barChart>
      <c:lineChart>
        <c:grouping val="standard"/>
        <c:varyColors val="0"/>
        <c:ser>
          <c:idx val="1"/>
          <c:order val="1"/>
          <c:tx>
            <c:strRef>
              <c:f>'Customer Satisfaction'!$H$3</c:f>
              <c:strCache>
                <c:ptCount val="1"/>
                <c:pt idx="0">
                  <c:v>Sum of Average_Review_Score</c:v>
                </c:pt>
              </c:strCache>
            </c:strRef>
          </c:tx>
          <c:spPr>
            <a:ln w="28575" cap="rnd">
              <a:solidFill>
                <a:srgbClr val="002060"/>
              </a:solidFill>
              <a:round/>
            </a:ln>
            <a:effectLst/>
          </c:spPr>
          <c:marker>
            <c:symbol val="none"/>
          </c:marker>
          <c:cat>
            <c:strRef>
              <c:f>'Customer Satisfaction'!$F$4:$F$69</c:f>
              <c:strCache>
                <c:ptCount val="65"/>
                <c:pt idx="0">
                  <c:v>Agro_Industry_And_Commerce</c:v>
                </c:pt>
                <c:pt idx="1">
                  <c:v>Air_Conditioning</c:v>
                </c:pt>
                <c:pt idx="2">
                  <c:v>Art</c:v>
                </c:pt>
                <c:pt idx="3">
                  <c:v>Arts_And_Craftmanship</c:v>
                </c:pt>
                <c:pt idx="4">
                  <c:v>Audio</c:v>
                </c:pt>
                <c:pt idx="5">
                  <c:v>Auto</c:v>
                </c:pt>
                <c:pt idx="6">
                  <c:v>Books_Technical</c:v>
                </c:pt>
                <c:pt idx="7">
                  <c:v>Cds_Dvds_Musicals</c:v>
                </c:pt>
                <c:pt idx="8">
                  <c:v>Christmas_Supplies</c:v>
                </c:pt>
                <c:pt idx="9">
                  <c:v>Cine_Photo</c:v>
                </c:pt>
                <c:pt idx="10">
                  <c:v>Computers</c:v>
                </c:pt>
                <c:pt idx="11">
                  <c:v>Computers_Accessories</c:v>
                </c:pt>
                <c:pt idx="12">
                  <c:v>Construction_Tools_Construction</c:v>
                </c:pt>
                <c:pt idx="13">
                  <c:v>Construction_Tools_Lights</c:v>
                </c:pt>
                <c:pt idx="14">
                  <c:v>Construction_Tools_Safety</c:v>
                </c:pt>
                <c:pt idx="15">
                  <c:v>Cool_Stuff</c:v>
                </c:pt>
                <c:pt idx="16">
                  <c:v>Costruction_Tools_Garden</c:v>
                </c:pt>
                <c:pt idx="17">
                  <c:v>Costruction_Tools_Tools</c:v>
                </c:pt>
                <c:pt idx="18">
                  <c:v>Diapers_And_Hygiene</c:v>
                </c:pt>
                <c:pt idx="19">
                  <c:v>Drinks</c:v>
                </c:pt>
                <c:pt idx="20">
                  <c:v>Dvds_Blu_Ray</c:v>
                </c:pt>
                <c:pt idx="21">
                  <c:v>Electronics</c:v>
                </c:pt>
                <c:pt idx="22">
                  <c:v>Fashio_Female_Clothing</c:v>
                </c:pt>
                <c:pt idx="23">
                  <c:v>Fashion_Bags_Accessories</c:v>
                </c:pt>
                <c:pt idx="24">
                  <c:v>Fashion_Childrens_Clothes</c:v>
                </c:pt>
                <c:pt idx="25">
                  <c:v>Fashion_Male_Clothing</c:v>
                </c:pt>
                <c:pt idx="26">
                  <c:v>Fashion_Shoes</c:v>
                </c:pt>
                <c:pt idx="27">
                  <c:v>Fashion_Sport</c:v>
                </c:pt>
                <c:pt idx="28">
                  <c:v>Fashion_Underwear_Beach</c:v>
                </c:pt>
                <c:pt idx="29">
                  <c:v>Fixed_Telephony</c:v>
                </c:pt>
                <c:pt idx="30">
                  <c:v>Flowers</c:v>
                </c:pt>
                <c:pt idx="31">
                  <c:v>Food</c:v>
                </c:pt>
                <c:pt idx="32">
                  <c:v>Food_Drink</c:v>
                </c:pt>
                <c:pt idx="33">
                  <c:v>Furniture_Bedroom</c:v>
                </c:pt>
                <c:pt idx="34">
                  <c:v>Furniture_Decor</c:v>
                </c:pt>
                <c:pt idx="35">
                  <c:v>Furniture_Living_Room</c:v>
                </c:pt>
                <c:pt idx="36">
                  <c:v>Furniture_Mattress_And_Upholstery</c:v>
                </c:pt>
                <c:pt idx="37">
                  <c:v>Garden_Tools</c:v>
                </c:pt>
                <c:pt idx="38">
                  <c:v>Health_Beauty</c:v>
                </c:pt>
                <c:pt idx="39">
                  <c:v>Home_Appliances</c:v>
                </c:pt>
                <c:pt idx="40">
                  <c:v>Home_Appliances_2</c:v>
                </c:pt>
                <c:pt idx="41">
                  <c:v>Home_Comfort_2</c:v>
                </c:pt>
                <c:pt idx="42">
                  <c:v>Home_Confort</c:v>
                </c:pt>
                <c:pt idx="43">
                  <c:v>Home_Construction</c:v>
                </c:pt>
                <c:pt idx="44">
                  <c:v>Housewares</c:v>
                </c:pt>
                <c:pt idx="45">
                  <c:v>Industry_Commerce_And_Business</c:v>
                </c:pt>
                <c:pt idx="46">
                  <c:v>Kitchen_Dining_Laundry_Garden_Furniture</c:v>
                </c:pt>
                <c:pt idx="47">
                  <c:v>La_Cuisine</c:v>
                </c:pt>
                <c:pt idx="48">
                  <c:v>Luggage_Accessories</c:v>
                </c:pt>
                <c:pt idx="49">
                  <c:v>Market_Place</c:v>
                </c:pt>
                <c:pt idx="50">
                  <c:v>Music</c:v>
                </c:pt>
                <c:pt idx="51">
                  <c:v>Musical_Instruments</c:v>
                </c:pt>
                <c:pt idx="52">
                  <c:v>Office_Furniture</c:v>
                </c:pt>
                <c:pt idx="53">
                  <c:v>Party_Supplies</c:v>
                </c:pt>
                <c:pt idx="54">
                  <c:v>Perfumery</c:v>
                </c:pt>
                <c:pt idx="55">
                  <c:v>Pet_Shop</c:v>
                </c:pt>
                <c:pt idx="56">
                  <c:v>Security_And_Services</c:v>
                </c:pt>
                <c:pt idx="57">
                  <c:v>Signaling_And_Security</c:v>
                </c:pt>
                <c:pt idx="58">
                  <c:v>Small_Appliances</c:v>
                </c:pt>
                <c:pt idx="59">
                  <c:v>Sports_Leisure</c:v>
                </c:pt>
                <c:pt idx="60">
                  <c:v>Stationery</c:v>
                </c:pt>
                <c:pt idx="61">
                  <c:v>Tablets_Printing_Image</c:v>
                </c:pt>
                <c:pt idx="62">
                  <c:v>Telephony</c:v>
                </c:pt>
                <c:pt idx="63">
                  <c:v>Toys</c:v>
                </c:pt>
                <c:pt idx="64">
                  <c:v>Watches_Gifts</c:v>
                </c:pt>
              </c:strCache>
            </c:strRef>
          </c:cat>
          <c:val>
            <c:numRef>
              <c:f>'Customer Satisfaction'!$H$4:$H$69</c:f>
              <c:numCache>
                <c:formatCode>General</c:formatCode>
                <c:ptCount val="65"/>
                <c:pt idx="0">
                  <c:v>8.0658999999999992</c:v>
                </c:pt>
                <c:pt idx="1">
                  <c:v>8.2418999999999993</c:v>
                </c:pt>
                <c:pt idx="2">
                  <c:v>8.4118999999999993</c:v>
                </c:pt>
                <c:pt idx="3">
                  <c:v>7.4754000000000005</c:v>
                </c:pt>
                <c:pt idx="4">
                  <c:v>8.1467999999999989</c:v>
                </c:pt>
                <c:pt idx="5">
                  <c:v>8.1262000000000008</c:v>
                </c:pt>
                <c:pt idx="6">
                  <c:v>8.1819999999999986</c:v>
                </c:pt>
                <c:pt idx="7">
                  <c:v>7.3517000000000001</c:v>
                </c:pt>
                <c:pt idx="8">
                  <c:v>8.2035</c:v>
                </c:pt>
                <c:pt idx="9">
                  <c:v>8.8184000000000005</c:v>
                </c:pt>
                <c:pt idx="10">
                  <c:v>8.7134</c:v>
                </c:pt>
                <c:pt idx="11">
                  <c:v>8.122399999999999</c:v>
                </c:pt>
                <c:pt idx="12">
                  <c:v>8.1738</c:v>
                </c:pt>
                <c:pt idx="13">
                  <c:v>8.2904999999999998</c:v>
                </c:pt>
                <c:pt idx="14">
                  <c:v>8.2390000000000008</c:v>
                </c:pt>
                <c:pt idx="15">
                  <c:v>8.1089000000000002</c:v>
                </c:pt>
                <c:pt idx="16">
                  <c:v>8.0489999999999995</c:v>
                </c:pt>
                <c:pt idx="17">
                  <c:v>8.0239000000000011</c:v>
                </c:pt>
                <c:pt idx="18">
                  <c:v>8.2532999999999994</c:v>
                </c:pt>
                <c:pt idx="19">
                  <c:v>8.2677999999999994</c:v>
                </c:pt>
                <c:pt idx="20">
                  <c:v>8.3987000000000016</c:v>
                </c:pt>
                <c:pt idx="21">
                  <c:v>8.3140999999999998</c:v>
                </c:pt>
                <c:pt idx="22">
                  <c:v>8.0997000000000003</c:v>
                </c:pt>
                <c:pt idx="23">
                  <c:v>8.1701999999999995</c:v>
                </c:pt>
                <c:pt idx="24">
                  <c:v>7.6528</c:v>
                </c:pt>
                <c:pt idx="25">
                  <c:v>8.0419999999999998</c:v>
                </c:pt>
                <c:pt idx="26">
                  <c:v>8.3254999999999999</c:v>
                </c:pt>
                <c:pt idx="27">
                  <c:v>7.9146999999999998</c:v>
                </c:pt>
                <c:pt idx="28">
                  <c:v>8.3231000000000002</c:v>
                </c:pt>
                <c:pt idx="29">
                  <c:v>8.036999999999999</c:v>
                </c:pt>
                <c:pt idx="30">
                  <c:v>8.4888000000000012</c:v>
                </c:pt>
                <c:pt idx="31">
                  <c:v>8.0808</c:v>
                </c:pt>
                <c:pt idx="32">
                  <c:v>8.35</c:v>
                </c:pt>
                <c:pt idx="33">
                  <c:v>8.2156000000000002</c:v>
                </c:pt>
                <c:pt idx="34">
                  <c:v>8.2242999999999995</c:v>
                </c:pt>
                <c:pt idx="35">
                  <c:v>8.2179000000000002</c:v>
                </c:pt>
                <c:pt idx="36">
                  <c:v>9.1234999999999999</c:v>
                </c:pt>
                <c:pt idx="37">
                  <c:v>8.1890000000000001</c:v>
                </c:pt>
                <c:pt idx="38">
                  <c:v>8.1369000000000007</c:v>
                </c:pt>
                <c:pt idx="39">
                  <c:v>8.1052999999999997</c:v>
                </c:pt>
                <c:pt idx="40">
                  <c:v>8.1189</c:v>
                </c:pt>
                <c:pt idx="41">
                  <c:v>9.7971000000000004</c:v>
                </c:pt>
                <c:pt idx="42">
                  <c:v>8.6220999999999997</c:v>
                </c:pt>
                <c:pt idx="43">
                  <c:v>8.0631000000000004</c:v>
                </c:pt>
                <c:pt idx="44">
                  <c:v>8.1614000000000004</c:v>
                </c:pt>
                <c:pt idx="45">
                  <c:v>8.2827999999999999</c:v>
                </c:pt>
                <c:pt idx="46">
                  <c:v>8.5568999999999988</c:v>
                </c:pt>
                <c:pt idx="47">
                  <c:v>7.6566000000000001</c:v>
                </c:pt>
                <c:pt idx="48">
                  <c:v>8.0958000000000006</c:v>
                </c:pt>
                <c:pt idx="49">
                  <c:v>7.9732000000000003</c:v>
                </c:pt>
                <c:pt idx="50">
                  <c:v>7.7741000000000007</c:v>
                </c:pt>
                <c:pt idx="51">
                  <c:v>8.0235000000000003</c:v>
                </c:pt>
                <c:pt idx="52">
                  <c:v>8.3629999999999995</c:v>
                </c:pt>
                <c:pt idx="53">
                  <c:v>8.3388999999999989</c:v>
                </c:pt>
                <c:pt idx="54">
                  <c:v>8.1552000000000007</c:v>
                </c:pt>
                <c:pt idx="55">
                  <c:v>8.1640999999999995</c:v>
                </c:pt>
                <c:pt idx="56">
                  <c:v>9.793099999999999</c:v>
                </c:pt>
                <c:pt idx="57">
                  <c:v>7.9603000000000002</c:v>
                </c:pt>
                <c:pt idx="58">
                  <c:v>8.180299999999999</c:v>
                </c:pt>
                <c:pt idx="59">
                  <c:v>8.1333000000000002</c:v>
                </c:pt>
                <c:pt idx="60">
                  <c:v>8.2256999999999998</c:v>
                </c:pt>
                <c:pt idx="61">
                  <c:v>7.9477000000000002</c:v>
                </c:pt>
                <c:pt idx="62">
                  <c:v>8.1853000000000016</c:v>
                </c:pt>
                <c:pt idx="63">
                  <c:v>8.1997999999999998</c:v>
                </c:pt>
                <c:pt idx="64">
                  <c:v>8.198599999999999</c:v>
                </c:pt>
              </c:numCache>
            </c:numRef>
          </c:val>
          <c:smooth val="0"/>
          <c:extLst>
            <c:ext xmlns:c16="http://schemas.microsoft.com/office/drawing/2014/chart" uri="{C3380CC4-5D6E-409C-BE32-E72D297353CC}">
              <c16:uniqueId val="{00000001-0831-45F8-AADA-8637BF65D0DA}"/>
            </c:ext>
          </c:extLst>
        </c:ser>
        <c:dLbls>
          <c:showLegendKey val="0"/>
          <c:showVal val="0"/>
          <c:showCatName val="0"/>
          <c:showSerName val="0"/>
          <c:showPercent val="0"/>
          <c:showBubbleSize val="0"/>
        </c:dLbls>
        <c:marker val="1"/>
        <c:smooth val="0"/>
        <c:axId val="52323463"/>
        <c:axId val="944996640"/>
      </c:lineChart>
      <c:valAx>
        <c:axId val="944996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3463"/>
        <c:crosses val="autoZero"/>
        <c:crossBetween val="between"/>
      </c:valAx>
      <c:catAx>
        <c:axId val="52323463"/>
        <c:scaling>
          <c:orientation val="minMax"/>
        </c:scaling>
        <c:delete val="1"/>
        <c:axPos val="b"/>
        <c:numFmt formatCode="General" sourceLinked="1"/>
        <c:majorTickMark val="out"/>
        <c:minorTickMark val="none"/>
        <c:tickLblPos val="nextTo"/>
        <c:crossAx val="944996640"/>
        <c:crosses val="autoZero"/>
        <c:auto val="1"/>
        <c:lblAlgn val="ctr"/>
        <c:lblOffset val="100"/>
        <c:noMultiLvlLbl val="0"/>
      </c:catAx>
      <c:valAx>
        <c:axId val="523237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5431"/>
        <c:crosses val="max"/>
        <c:crossBetween val="between"/>
      </c:valAx>
      <c:catAx>
        <c:axId val="52325431"/>
        <c:scaling>
          <c:orientation val="minMax"/>
        </c:scaling>
        <c:delete val="1"/>
        <c:axPos val="b"/>
        <c:numFmt formatCode="General" sourceLinked="1"/>
        <c:majorTickMark val="out"/>
        <c:minorTickMark val="none"/>
        <c:tickLblPos val="nextTo"/>
        <c:crossAx val="523237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Satisfaction!PivotTable21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Average Review Score vs Total Reviews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pivotFmt>
      <c:pivotFmt>
        <c:idx val="1"/>
        <c:spPr>
          <a:ln w="28575" cap="rnd">
            <a:solidFill>
              <a:srgbClr val="002060"/>
            </a:solidFill>
            <a:round/>
          </a:ln>
          <a:effectLst/>
        </c:spPr>
        <c:marker>
          <c:symbol val="none"/>
        </c:marker>
      </c:pivotFmt>
    </c:pivotFmts>
    <c:plotArea>
      <c:layout/>
      <c:barChart>
        <c:barDir val="col"/>
        <c:grouping val="clustered"/>
        <c:varyColors val="0"/>
        <c:ser>
          <c:idx val="0"/>
          <c:order val="0"/>
          <c:tx>
            <c:strRef>
              <c:f>'Customer Satisfaction'!$G$3</c:f>
              <c:strCache>
                <c:ptCount val="1"/>
                <c:pt idx="0">
                  <c:v>Sum of Total_Reviews</c:v>
                </c:pt>
              </c:strCache>
            </c:strRef>
          </c:tx>
          <c:spPr>
            <a:solidFill>
              <a:srgbClr val="00B0F0"/>
            </a:solidFill>
            <a:ln>
              <a:noFill/>
            </a:ln>
            <a:effectLst/>
          </c:spPr>
          <c:invertIfNegative val="0"/>
          <c:cat>
            <c:strRef>
              <c:f>'Customer Satisfaction'!$F$4:$F$69</c:f>
              <c:strCache>
                <c:ptCount val="65"/>
                <c:pt idx="0">
                  <c:v>Agro_Industry_And_Commerce</c:v>
                </c:pt>
                <c:pt idx="1">
                  <c:v>Air_Conditioning</c:v>
                </c:pt>
                <c:pt idx="2">
                  <c:v>Art</c:v>
                </c:pt>
                <c:pt idx="3">
                  <c:v>Arts_And_Craftmanship</c:v>
                </c:pt>
                <c:pt idx="4">
                  <c:v>Audio</c:v>
                </c:pt>
                <c:pt idx="5">
                  <c:v>Auto</c:v>
                </c:pt>
                <c:pt idx="6">
                  <c:v>Books_Technical</c:v>
                </c:pt>
                <c:pt idx="7">
                  <c:v>Cds_Dvds_Musicals</c:v>
                </c:pt>
                <c:pt idx="8">
                  <c:v>Christmas_Supplies</c:v>
                </c:pt>
                <c:pt idx="9">
                  <c:v>Cine_Photo</c:v>
                </c:pt>
                <c:pt idx="10">
                  <c:v>Computers</c:v>
                </c:pt>
                <c:pt idx="11">
                  <c:v>Computers_Accessories</c:v>
                </c:pt>
                <c:pt idx="12">
                  <c:v>Construction_Tools_Construction</c:v>
                </c:pt>
                <c:pt idx="13">
                  <c:v>Construction_Tools_Lights</c:v>
                </c:pt>
                <c:pt idx="14">
                  <c:v>Construction_Tools_Safety</c:v>
                </c:pt>
                <c:pt idx="15">
                  <c:v>Cool_Stuff</c:v>
                </c:pt>
                <c:pt idx="16">
                  <c:v>Costruction_Tools_Garden</c:v>
                </c:pt>
                <c:pt idx="17">
                  <c:v>Costruction_Tools_Tools</c:v>
                </c:pt>
                <c:pt idx="18">
                  <c:v>Diapers_And_Hygiene</c:v>
                </c:pt>
                <c:pt idx="19">
                  <c:v>Drinks</c:v>
                </c:pt>
                <c:pt idx="20">
                  <c:v>Dvds_Blu_Ray</c:v>
                </c:pt>
                <c:pt idx="21">
                  <c:v>Electronics</c:v>
                </c:pt>
                <c:pt idx="22">
                  <c:v>Fashio_Female_Clothing</c:v>
                </c:pt>
                <c:pt idx="23">
                  <c:v>Fashion_Bags_Accessories</c:v>
                </c:pt>
                <c:pt idx="24">
                  <c:v>Fashion_Childrens_Clothes</c:v>
                </c:pt>
                <c:pt idx="25">
                  <c:v>Fashion_Male_Clothing</c:v>
                </c:pt>
                <c:pt idx="26">
                  <c:v>Fashion_Shoes</c:v>
                </c:pt>
                <c:pt idx="27">
                  <c:v>Fashion_Sport</c:v>
                </c:pt>
                <c:pt idx="28">
                  <c:v>Fashion_Underwear_Beach</c:v>
                </c:pt>
                <c:pt idx="29">
                  <c:v>Fixed_Telephony</c:v>
                </c:pt>
                <c:pt idx="30">
                  <c:v>Flowers</c:v>
                </c:pt>
                <c:pt idx="31">
                  <c:v>Food</c:v>
                </c:pt>
                <c:pt idx="32">
                  <c:v>Food_Drink</c:v>
                </c:pt>
                <c:pt idx="33">
                  <c:v>Furniture_Bedroom</c:v>
                </c:pt>
                <c:pt idx="34">
                  <c:v>Furniture_Decor</c:v>
                </c:pt>
                <c:pt idx="35">
                  <c:v>Furniture_Living_Room</c:v>
                </c:pt>
                <c:pt idx="36">
                  <c:v>Furniture_Mattress_And_Upholstery</c:v>
                </c:pt>
                <c:pt idx="37">
                  <c:v>Garden_Tools</c:v>
                </c:pt>
                <c:pt idx="38">
                  <c:v>Health_Beauty</c:v>
                </c:pt>
                <c:pt idx="39">
                  <c:v>Home_Appliances</c:v>
                </c:pt>
                <c:pt idx="40">
                  <c:v>Home_Appliances_2</c:v>
                </c:pt>
                <c:pt idx="41">
                  <c:v>Home_Comfort_2</c:v>
                </c:pt>
                <c:pt idx="42">
                  <c:v>Home_Confort</c:v>
                </c:pt>
                <c:pt idx="43">
                  <c:v>Home_Construction</c:v>
                </c:pt>
                <c:pt idx="44">
                  <c:v>Housewares</c:v>
                </c:pt>
                <c:pt idx="45">
                  <c:v>Industry_Commerce_And_Business</c:v>
                </c:pt>
                <c:pt idx="46">
                  <c:v>Kitchen_Dining_Laundry_Garden_Furniture</c:v>
                </c:pt>
                <c:pt idx="47">
                  <c:v>La_Cuisine</c:v>
                </c:pt>
                <c:pt idx="48">
                  <c:v>Luggage_Accessories</c:v>
                </c:pt>
                <c:pt idx="49">
                  <c:v>Market_Place</c:v>
                </c:pt>
                <c:pt idx="50">
                  <c:v>Music</c:v>
                </c:pt>
                <c:pt idx="51">
                  <c:v>Musical_Instruments</c:v>
                </c:pt>
                <c:pt idx="52">
                  <c:v>Office_Furniture</c:v>
                </c:pt>
                <c:pt idx="53">
                  <c:v>Party_Supplies</c:v>
                </c:pt>
                <c:pt idx="54">
                  <c:v>Perfumery</c:v>
                </c:pt>
                <c:pt idx="55">
                  <c:v>Pet_Shop</c:v>
                </c:pt>
                <c:pt idx="56">
                  <c:v>Security_And_Services</c:v>
                </c:pt>
                <c:pt idx="57">
                  <c:v>Signaling_And_Security</c:v>
                </c:pt>
                <c:pt idx="58">
                  <c:v>Small_Appliances</c:v>
                </c:pt>
                <c:pt idx="59">
                  <c:v>Sports_Leisure</c:v>
                </c:pt>
                <c:pt idx="60">
                  <c:v>Stationery</c:v>
                </c:pt>
                <c:pt idx="61">
                  <c:v>Tablets_Printing_Image</c:v>
                </c:pt>
                <c:pt idx="62">
                  <c:v>Telephony</c:v>
                </c:pt>
                <c:pt idx="63">
                  <c:v>Toys</c:v>
                </c:pt>
                <c:pt idx="64">
                  <c:v>Watches_Gifts</c:v>
                </c:pt>
              </c:strCache>
            </c:strRef>
          </c:cat>
          <c:val>
            <c:numRef>
              <c:f>'Customer Satisfaction'!$G$4:$G$69</c:f>
              <c:numCache>
                <c:formatCode>General</c:formatCode>
                <c:ptCount val="65"/>
                <c:pt idx="0">
                  <c:v>5122</c:v>
                </c:pt>
                <c:pt idx="1">
                  <c:v>8116</c:v>
                </c:pt>
                <c:pt idx="2">
                  <c:v>2651</c:v>
                </c:pt>
                <c:pt idx="3">
                  <c:v>618</c:v>
                </c:pt>
                <c:pt idx="4">
                  <c:v>462</c:v>
                </c:pt>
                <c:pt idx="5">
                  <c:v>93454</c:v>
                </c:pt>
                <c:pt idx="6">
                  <c:v>14956</c:v>
                </c:pt>
                <c:pt idx="7">
                  <c:v>60</c:v>
                </c:pt>
                <c:pt idx="8">
                  <c:v>4023</c:v>
                </c:pt>
                <c:pt idx="9">
                  <c:v>1816</c:v>
                </c:pt>
                <c:pt idx="10">
                  <c:v>436</c:v>
                </c:pt>
                <c:pt idx="11">
                  <c:v>26656</c:v>
                </c:pt>
                <c:pt idx="12">
                  <c:v>24828</c:v>
                </c:pt>
                <c:pt idx="13">
                  <c:v>5113</c:v>
                </c:pt>
                <c:pt idx="14">
                  <c:v>5476</c:v>
                </c:pt>
                <c:pt idx="15">
                  <c:v>47475</c:v>
                </c:pt>
                <c:pt idx="16">
                  <c:v>5649</c:v>
                </c:pt>
                <c:pt idx="17">
                  <c:v>1930</c:v>
                </c:pt>
                <c:pt idx="18">
                  <c:v>515</c:v>
                </c:pt>
                <c:pt idx="19">
                  <c:v>4436</c:v>
                </c:pt>
                <c:pt idx="20">
                  <c:v>3150</c:v>
                </c:pt>
                <c:pt idx="21">
                  <c:v>8135</c:v>
                </c:pt>
                <c:pt idx="22">
                  <c:v>1958</c:v>
                </c:pt>
                <c:pt idx="23">
                  <c:v>100713</c:v>
                </c:pt>
                <c:pt idx="24">
                  <c:v>719</c:v>
                </c:pt>
                <c:pt idx="25">
                  <c:v>11067</c:v>
                </c:pt>
                <c:pt idx="26">
                  <c:v>21991</c:v>
                </c:pt>
                <c:pt idx="27">
                  <c:v>2359</c:v>
                </c:pt>
                <c:pt idx="28">
                  <c:v>6737</c:v>
                </c:pt>
                <c:pt idx="29">
                  <c:v>7068</c:v>
                </c:pt>
                <c:pt idx="30">
                  <c:v>847</c:v>
                </c:pt>
                <c:pt idx="31">
                  <c:v>5361</c:v>
                </c:pt>
                <c:pt idx="32">
                  <c:v>6718</c:v>
                </c:pt>
                <c:pt idx="33">
                  <c:v>494</c:v>
                </c:pt>
                <c:pt idx="34">
                  <c:v>37546</c:v>
                </c:pt>
                <c:pt idx="35">
                  <c:v>1348</c:v>
                </c:pt>
                <c:pt idx="36">
                  <c:v>192</c:v>
                </c:pt>
                <c:pt idx="37">
                  <c:v>44036</c:v>
                </c:pt>
                <c:pt idx="38">
                  <c:v>146614</c:v>
                </c:pt>
                <c:pt idx="39">
                  <c:v>5058</c:v>
                </c:pt>
                <c:pt idx="40">
                  <c:v>1756</c:v>
                </c:pt>
                <c:pt idx="41">
                  <c:v>82</c:v>
                </c:pt>
                <c:pt idx="42">
                  <c:v>1297</c:v>
                </c:pt>
                <c:pt idx="43">
                  <c:v>2876</c:v>
                </c:pt>
                <c:pt idx="44">
                  <c:v>141355</c:v>
                </c:pt>
                <c:pt idx="45">
                  <c:v>4534</c:v>
                </c:pt>
                <c:pt idx="46">
                  <c:v>1253</c:v>
                </c:pt>
                <c:pt idx="47">
                  <c:v>574</c:v>
                </c:pt>
                <c:pt idx="48">
                  <c:v>21114</c:v>
                </c:pt>
                <c:pt idx="49">
                  <c:v>7228</c:v>
                </c:pt>
                <c:pt idx="50">
                  <c:v>1537</c:v>
                </c:pt>
                <c:pt idx="51">
                  <c:v>17503</c:v>
                </c:pt>
                <c:pt idx="52">
                  <c:v>5976</c:v>
                </c:pt>
                <c:pt idx="53">
                  <c:v>1131</c:v>
                </c:pt>
                <c:pt idx="54">
                  <c:v>104860</c:v>
                </c:pt>
                <c:pt idx="55">
                  <c:v>61389</c:v>
                </c:pt>
                <c:pt idx="56">
                  <c:v>51</c:v>
                </c:pt>
                <c:pt idx="57">
                  <c:v>4250</c:v>
                </c:pt>
                <c:pt idx="58">
                  <c:v>14422</c:v>
                </c:pt>
                <c:pt idx="59">
                  <c:v>175402</c:v>
                </c:pt>
                <c:pt idx="60">
                  <c:v>103333</c:v>
                </c:pt>
                <c:pt idx="61">
                  <c:v>719</c:v>
                </c:pt>
                <c:pt idx="62">
                  <c:v>63738</c:v>
                </c:pt>
                <c:pt idx="63">
                  <c:v>88848</c:v>
                </c:pt>
                <c:pt idx="64">
                  <c:v>80316</c:v>
                </c:pt>
              </c:numCache>
            </c:numRef>
          </c:val>
          <c:extLst>
            <c:ext xmlns:c16="http://schemas.microsoft.com/office/drawing/2014/chart" uri="{C3380CC4-5D6E-409C-BE32-E72D297353CC}">
              <c16:uniqueId val="{00000000-DC2B-4C92-AE42-7158D2AF37F1}"/>
            </c:ext>
          </c:extLst>
        </c:ser>
        <c:dLbls>
          <c:showLegendKey val="0"/>
          <c:showVal val="0"/>
          <c:showCatName val="0"/>
          <c:showSerName val="0"/>
          <c:showPercent val="0"/>
          <c:showBubbleSize val="0"/>
        </c:dLbls>
        <c:gapWidth val="219"/>
        <c:overlap val="-27"/>
        <c:axId val="52325431"/>
        <c:axId val="52323791"/>
      </c:barChart>
      <c:lineChart>
        <c:grouping val="standard"/>
        <c:varyColors val="0"/>
        <c:ser>
          <c:idx val="1"/>
          <c:order val="1"/>
          <c:tx>
            <c:strRef>
              <c:f>'Customer Satisfaction'!$H$3</c:f>
              <c:strCache>
                <c:ptCount val="1"/>
                <c:pt idx="0">
                  <c:v>Sum of Average_Review_Score</c:v>
                </c:pt>
              </c:strCache>
            </c:strRef>
          </c:tx>
          <c:spPr>
            <a:ln w="28575" cap="rnd">
              <a:solidFill>
                <a:srgbClr val="002060"/>
              </a:solidFill>
              <a:round/>
            </a:ln>
            <a:effectLst/>
          </c:spPr>
          <c:marker>
            <c:symbol val="none"/>
          </c:marker>
          <c:cat>
            <c:strRef>
              <c:f>'Customer Satisfaction'!$F$4:$F$69</c:f>
              <c:strCache>
                <c:ptCount val="65"/>
                <c:pt idx="0">
                  <c:v>Agro_Industry_And_Commerce</c:v>
                </c:pt>
                <c:pt idx="1">
                  <c:v>Air_Conditioning</c:v>
                </c:pt>
                <c:pt idx="2">
                  <c:v>Art</c:v>
                </c:pt>
                <c:pt idx="3">
                  <c:v>Arts_And_Craftmanship</c:v>
                </c:pt>
                <c:pt idx="4">
                  <c:v>Audio</c:v>
                </c:pt>
                <c:pt idx="5">
                  <c:v>Auto</c:v>
                </c:pt>
                <c:pt idx="6">
                  <c:v>Books_Technical</c:v>
                </c:pt>
                <c:pt idx="7">
                  <c:v>Cds_Dvds_Musicals</c:v>
                </c:pt>
                <c:pt idx="8">
                  <c:v>Christmas_Supplies</c:v>
                </c:pt>
                <c:pt idx="9">
                  <c:v>Cine_Photo</c:v>
                </c:pt>
                <c:pt idx="10">
                  <c:v>Computers</c:v>
                </c:pt>
                <c:pt idx="11">
                  <c:v>Computers_Accessories</c:v>
                </c:pt>
                <c:pt idx="12">
                  <c:v>Construction_Tools_Construction</c:v>
                </c:pt>
                <c:pt idx="13">
                  <c:v>Construction_Tools_Lights</c:v>
                </c:pt>
                <c:pt idx="14">
                  <c:v>Construction_Tools_Safety</c:v>
                </c:pt>
                <c:pt idx="15">
                  <c:v>Cool_Stuff</c:v>
                </c:pt>
                <c:pt idx="16">
                  <c:v>Costruction_Tools_Garden</c:v>
                </c:pt>
                <c:pt idx="17">
                  <c:v>Costruction_Tools_Tools</c:v>
                </c:pt>
                <c:pt idx="18">
                  <c:v>Diapers_And_Hygiene</c:v>
                </c:pt>
                <c:pt idx="19">
                  <c:v>Drinks</c:v>
                </c:pt>
                <c:pt idx="20">
                  <c:v>Dvds_Blu_Ray</c:v>
                </c:pt>
                <c:pt idx="21">
                  <c:v>Electronics</c:v>
                </c:pt>
                <c:pt idx="22">
                  <c:v>Fashio_Female_Clothing</c:v>
                </c:pt>
                <c:pt idx="23">
                  <c:v>Fashion_Bags_Accessories</c:v>
                </c:pt>
                <c:pt idx="24">
                  <c:v>Fashion_Childrens_Clothes</c:v>
                </c:pt>
                <c:pt idx="25">
                  <c:v>Fashion_Male_Clothing</c:v>
                </c:pt>
                <c:pt idx="26">
                  <c:v>Fashion_Shoes</c:v>
                </c:pt>
                <c:pt idx="27">
                  <c:v>Fashion_Sport</c:v>
                </c:pt>
                <c:pt idx="28">
                  <c:v>Fashion_Underwear_Beach</c:v>
                </c:pt>
                <c:pt idx="29">
                  <c:v>Fixed_Telephony</c:v>
                </c:pt>
                <c:pt idx="30">
                  <c:v>Flowers</c:v>
                </c:pt>
                <c:pt idx="31">
                  <c:v>Food</c:v>
                </c:pt>
                <c:pt idx="32">
                  <c:v>Food_Drink</c:v>
                </c:pt>
                <c:pt idx="33">
                  <c:v>Furniture_Bedroom</c:v>
                </c:pt>
                <c:pt idx="34">
                  <c:v>Furniture_Decor</c:v>
                </c:pt>
                <c:pt idx="35">
                  <c:v>Furniture_Living_Room</c:v>
                </c:pt>
                <c:pt idx="36">
                  <c:v>Furniture_Mattress_And_Upholstery</c:v>
                </c:pt>
                <c:pt idx="37">
                  <c:v>Garden_Tools</c:v>
                </c:pt>
                <c:pt idx="38">
                  <c:v>Health_Beauty</c:v>
                </c:pt>
                <c:pt idx="39">
                  <c:v>Home_Appliances</c:v>
                </c:pt>
                <c:pt idx="40">
                  <c:v>Home_Appliances_2</c:v>
                </c:pt>
                <c:pt idx="41">
                  <c:v>Home_Comfort_2</c:v>
                </c:pt>
                <c:pt idx="42">
                  <c:v>Home_Confort</c:v>
                </c:pt>
                <c:pt idx="43">
                  <c:v>Home_Construction</c:v>
                </c:pt>
                <c:pt idx="44">
                  <c:v>Housewares</c:v>
                </c:pt>
                <c:pt idx="45">
                  <c:v>Industry_Commerce_And_Business</c:v>
                </c:pt>
                <c:pt idx="46">
                  <c:v>Kitchen_Dining_Laundry_Garden_Furniture</c:v>
                </c:pt>
                <c:pt idx="47">
                  <c:v>La_Cuisine</c:v>
                </c:pt>
                <c:pt idx="48">
                  <c:v>Luggage_Accessories</c:v>
                </c:pt>
                <c:pt idx="49">
                  <c:v>Market_Place</c:v>
                </c:pt>
                <c:pt idx="50">
                  <c:v>Music</c:v>
                </c:pt>
                <c:pt idx="51">
                  <c:v>Musical_Instruments</c:v>
                </c:pt>
                <c:pt idx="52">
                  <c:v>Office_Furniture</c:v>
                </c:pt>
                <c:pt idx="53">
                  <c:v>Party_Supplies</c:v>
                </c:pt>
                <c:pt idx="54">
                  <c:v>Perfumery</c:v>
                </c:pt>
                <c:pt idx="55">
                  <c:v>Pet_Shop</c:v>
                </c:pt>
                <c:pt idx="56">
                  <c:v>Security_And_Services</c:v>
                </c:pt>
                <c:pt idx="57">
                  <c:v>Signaling_And_Security</c:v>
                </c:pt>
                <c:pt idx="58">
                  <c:v>Small_Appliances</c:v>
                </c:pt>
                <c:pt idx="59">
                  <c:v>Sports_Leisure</c:v>
                </c:pt>
                <c:pt idx="60">
                  <c:v>Stationery</c:v>
                </c:pt>
                <c:pt idx="61">
                  <c:v>Tablets_Printing_Image</c:v>
                </c:pt>
                <c:pt idx="62">
                  <c:v>Telephony</c:v>
                </c:pt>
                <c:pt idx="63">
                  <c:v>Toys</c:v>
                </c:pt>
                <c:pt idx="64">
                  <c:v>Watches_Gifts</c:v>
                </c:pt>
              </c:strCache>
            </c:strRef>
          </c:cat>
          <c:val>
            <c:numRef>
              <c:f>'Customer Satisfaction'!$H$4:$H$69</c:f>
              <c:numCache>
                <c:formatCode>General</c:formatCode>
                <c:ptCount val="65"/>
                <c:pt idx="0">
                  <c:v>8.0658999999999992</c:v>
                </c:pt>
                <c:pt idx="1">
                  <c:v>8.2418999999999993</c:v>
                </c:pt>
                <c:pt idx="2">
                  <c:v>8.4118999999999993</c:v>
                </c:pt>
                <c:pt idx="3">
                  <c:v>7.4754000000000005</c:v>
                </c:pt>
                <c:pt idx="4">
                  <c:v>8.1467999999999989</c:v>
                </c:pt>
                <c:pt idx="5">
                  <c:v>8.1262000000000008</c:v>
                </c:pt>
                <c:pt idx="6">
                  <c:v>8.1819999999999986</c:v>
                </c:pt>
                <c:pt idx="7">
                  <c:v>7.3517000000000001</c:v>
                </c:pt>
                <c:pt idx="8">
                  <c:v>8.2035</c:v>
                </c:pt>
                <c:pt idx="9">
                  <c:v>8.8184000000000005</c:v>
                </c:pt>
                <c:pt idx="10">
                  <c:v>8.7134</c:v>
                </c:pt>
                <c:pt idx="11">
                  <c:v>8.122399999999999</c:v>
                </c:pt>
                <c:pt idx="12">
                  <c:v>8.1738</c:v>
                </c:pt>
                <c:pt idx="13">
                  <c:v>8.2904999999999998</c:v>
                </c:pt>
                <c:pt idx="14">
                  <c:v>8.2390000000000008</c:v>
                </c:pt>
                <c:pt idx="15">
                  <c:v>8.1089000000000002</c:v>
                </c:pt>
                <c:pt idx="16">
                  <c:v>8.0489999999999995</c:v>
                </c:pt>
                <c:pt idx="17">
                  <c:v>8.0239000000000011</c:v>
                </c:pt>
                <c:pt idx="18">
                  <c:v>8.2532999999999994</c:v>
                </c:pt>
                <c:pt idx="19">
                  <c:v>8.2677999999999994</c:v>
                </c:pt>
                <c:pt idx="20">
                  <c:v>8.3987000000000016</c:v>
                </c:pt>
                <c:pt idx="21">
                  <c:v>8.3140999999999998</c:v>
                </c:pt>
                <c:pt idx="22">
                  <c:v>8.0997000000000003</c:v>
                </c:pt>
                <c:pt idx="23">
                  <c:v>8.1701999999999995</c:v>
                </c:pt>
                <c:pt idx="24">
                  <c:v>7.6528</c:v>
                </c:pt>
                <c:pt idx="25">
                  <c:v>8.0419999999999998</c:v>
                </c:pt>
                <c:pt idx="26">
                  <c:v>8.3254999999999999</c:v>
                </c:pt>
                <c:pt idx="27">
                  <c:v>7.9146999999999998</c:v>
                </c:pt>
                <c:pt idx="28">
                  <c:v>8.3231000000000002</c:v>
                </c:pt>
                <c:pt idx="29">
                  <c:v>8.036999999999999</c:v>
                </c:pt>
                <c:pt idx="30">
                  <c:v>8.4888000000000012</c:v>
                </c:pt>
                <c:pt idx="31">
                  <c:v>8.0808</c:v>
                </c:pt>
                <c:pt idx="32">
                  <c:v>8.35</c:v>
                </c:pt>
                <c:pt idx="33">
                  <c:v>8.2156000000000002</c:v>
                </c:pt>
                <c:pt idx="34">
                  <c:v>8.2242999999999995</c:v>
                </c:pt>
                <c:pt idx="35">
                  <c:v>8.2179000000000002</c:v>
                </c:pt>
                <c:pt idx="36">
                  <c:v>9.1234999999999999</c:v>
                </c:pt>
                <c:pt idx="37">
                  <c:v>8.1890000000000001</c:v>
                </c:pt>
                <c:pt idx="38">
                  <c:v>8.1369000000000007</c:v>
                </c:pt>
                <c:pt idx="39">
                  <c:v>8.1052999999999997</c:v>
                </c:pt>
                <c:pt idx="40">
                  <c:v>8.1189</c:v>
                </c:pt>
                <c:pt idx="41">
                  <c:v>9.7971000000000004</c:v>
                </c:pt>
                <c:pt idx="42">
                  <c:v>8.6220999999999997</c:v>
                </c:pt>
                <c:pt idx="43">
                  <c:v>8.0631000000000004</c:v>
                </c:pt>
                <c:pt idx="44">
                  <c:v>8.1614000000000004</c:v>
                </c:pt>
                <c:pt idx="45">
                  <c:v>8.2827999999999999</c:v>
                </c:pt>
                <c:pt idx="46">
                  <c:v>8.5568999999999988</c:v>
                </c:pt>
                <c:pt idx="47">
                  <c:v>7.6566000000000001</c:v>
                </c:pt>
                <c:pt idx="48">
                  <c:v>8.0958000000000006</c:v>
                </c:pt>
                <c:pt idx="49">
                  <c:v>7.9732000000000003</c:v>
                </c:pt>
                <c:pt idx="50">
                  <c:v>7.7741000000000007</c:v>
                </c:pt>
                <c:pt idx="51">
                  <c:v>8.0235000000000003</c:v>
                </c:pt>
                <c:pt idx="52">
                  <c:v>8.3629999999999995</c:v>
                </c:pt>
                <c:pt idx="53">
                  <c:v>8.3388999999999989</c:v>
                </c:pt>
                <c:pt idx="54">
                  <c:v>8.1552000000000007</c:v>
                </c:pt>
                <c:pt idx="55">
                  <c:v>8.1640999999999995</c:v>
                </c:pt>
                <c:pt idx="56">
                  <c:v>9.793099999999999</c:v>
                </c:pt>
                <c:pt idx="57">
                  <c:v>7.9603000000000002</c:v>
                </c:pt>
                <c:pt idx="58">
                  <c:v>8.180299999999999</c:v>
                </c:pt>
                <c:pt idx="59">
                  <c:v>8.1333000000000002</c:v>
                </c:pt>
                <c:pt idx="60">
                  <c:v>8.2256999999999998</c:v>
                </c:pt>
                <c:pt idx="61">
                  <c:v>7.9477000000000002</c:v>
                </c:pt>
                <c:pt idx="62">
                  <c:v>8.1853000000000016</c:v>
                </c:pt>
                <c:pt idx="63">
                  <c:v>8.1997999999999998</c:v>
                </c:pt>
                <c:pt idx="64">
                  <c:v>8.198599999999999</c:v>
                </c:pt>
              </c:numCache>
            </c:numRef>
          </c:val>
          <c:smooth val="0"/>
          <c:extLst>
            <c:ext xmlns:c16="http://schemas.microsoft.com/office/drawing/2014/chart" uri="{C3380CC4-5D6E-409C-BE32-E72D297353CC}">
              <c16:uniqueId val="{00000001-DC2B-4C92-AE42-7158D2AF37F1}"/>
            </c:ext>
          </c:extLst>
        </c:ser>
        <c:dLbls>
          <c:showLegendKey val="0"/>
          <c:showVal val="0"/>
          <c:showCatName val="0"/>
          <c:showSerName val="0"/>
          <c:showPercent val="0"/>
          <c:showBubbleSize val="0"/>
        </c:dLbls>
        <c:marker val="1"/>
        <c:smooth val="0"/>
        <c:axId val="52323463"/>
        <c:axId val="944996640"/>
      </c:lineChart>
      <c:valAx>
        <c:axId val="94499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3463"/>
        <c:crosses val="autoZero"/>
        <c:crossBetween val="between"/>
      </c:valAx>
      <c:catAx>
        <c:axId val="52323463"/>
        <c:scaling>
          <c:orientation val="minMax"/>
        </c:scaling>
        <c:delete val="1"/>
        <c:axPos val="b"/>
        <c:numFmt formatCode="General" sourceLinked="1"/>
        <c:majorTickMark val="out"/>
        <c:minorTickMark val="none"/>
        <c:tickLblPos val="nextTo"/>
        <c:crossAx val="944996640"/>
        <c:crosses val="autoZero"/>
        <c:auto val="1"/>
        <c:lblAlgn val="ctr"/>
        <c:lblOffset val="100"/>
        <c:noMultiLvlLbl val="0"/>
      </c:catAx>
      <c:valAx>
        <c:axId val="523237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5431"/>
        <c:crosses val="max"/>
        <c:crossBetween val="between"/>
      </c:valAx>
      <c:catAx>
        <c:axId val="52325431"/>
        <c:scaling>
          <c:orientation val="minMax"/>
        </c:scaling>
        <c:delete val="1"/>
        <c:axPos val="b"/>
        <c:numFmt formatCode="General" sourceLinked="1"/>
        <c:majorTickMark val="out"/>
        <c:minorTickMark val="none"/>
        <c:tickLblPos val="nextTo"/>
        <c:crossAx val="52323791"/>
        <c:crosses val="autoZero"/>
        <c:auto val="1"/>
        <c:lblAlgn val="ctr"/>
        <c:lblOffset val="100"/>
        <c:noMultiLvlLbl val="0"/>
      </c:catAx>
      <c:spPr>
        <a:noFill/>
        <a:ln>
          <a:noFill/>
        </a:ln>
        <a:effectLst/>
      </c:spPr>
    </c:plotArea>
    <c:legend>
      <c:legendPos val="r"/>
      <c:layout>
        <c:manualLayout>
          <c:xMode val="edge"/>
          <c:yMode val="edge"/>
          <c:x val="0.74322376190786454"/>
          <c:y val="0.34656461065744076"/>
          <c:w val="0.25503786371035342"/>
          <c:h val="0.146497888957118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Retention!PivotTable3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Repeat Buyer Distribution by Customer Segment</a:t>
            </a:r>
            <a:endParaRPr lang="en-US" sz="1800" b="1"/>
          </a:p>
        </c:rich>
      </c:tx>
      <c:layout>
        <c:manualLayout>
          <c:xMode val="edge"/>
          <c:yMode val="edge"/>
          <c:x val="0.3691841820597373"/>
          <c:y val="5.4458549136204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78390604350755E-2"/>
          <c:y val="0.13846490770183575"/>
          <c:w val="0.75748573299334809"/>
          <c:h val="0.37174138460198008"/>
        </c:manualLayout>
      </c:layout>
      <c:barChart>
        <c:barDir val="col"/>
        <c:grouping val="clustered"/>
        <c:varyColors val="0"/>
        <c:ser>
          <c:idx val="0"/>
          <c:order val="0"/>
          <c:tx>
            <c:strRef>
              <c:f>'Customer Retention'!$H$2:$H$3</c:f>
              <c:strCache>
                <c:ptCount val="1"/>
                <c:pt idx="0">
                  <c:v>No</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Retention'!$G$4:$G$14</c:f>
              <c:strCache>
                <c:ptCount val="10"/>
                <c:pt idx="0">
                  <c:v>Auto</c:v>
                </c:pt>
                <c:pt idx="1">
                  <c:v>Bed_Bath_Table</c:v>
                </c:pt>
                <c:pt idx="2">
                  <c:v>Fashion_Bags_Accessories</c:v>
                </c:pt>
                <c:pt idx="3">
                  <c:v>Health_Beauty</c:v>
                </c:pt>
                <c:pt idx="4">
                  <c:v>Housewares</c:v>
                </c:pt>
                <c:pt idx="5">
                  <c:v>Perfumery</c:v>
                </c:pt>
                <c:pt idx="6">
                  <c:v>Sports_Leisure</c:v>
                </c:pt>
                <c:pt idx="7">
                  <c:v>Stationery</c:v>
                </c:pt>
                <c:pt idx="8">
                  <c:v>Toys</c:v>
                </c:pt>
                <c:pt idx="9">
                  <c:v>Watches_Gifts</c:v>
                </c:pt>
              </c:strCache>
            </c:strRef>
          </c:cat>
          <c:val>
            <c:numRef>
              <c:f>'Customer Retention'!$H$4:$H$14</c:f>
              <c:numCache>
                <c:formatCode>General</c:formatCode>
                <c:ptCount val="10"/>
                <c:pt idx="0">
                  <c:v>3677</c:v>
                </c:pt>
                <c:pt idx="1">
                  <c:v>6980</c:v>
                </c:pt>
                <c:pt idx="2">
                  <c:v>3722</c:v>
                </c:pt>
                <c:pt idx="3">
                  <c:v>5534</c:v>
                </c:pt>
                <c:pt idx="4">
                  <c:v>5383</c:v>
                </c:pt>
                <c:pt idx="5">
                  <c:v>4041</c:v>
                </c:pt>
                <c:pt idx="6">
                  <c:v>6567</c:v>
                </c:pt>
                <c:pt idx="7">
                  <c:v>3948</c:v>
                </c:pt>
                <c:pt idx="8">
                  <c:v>3584</c:v>
                </c:pt>
                <c:pt idx="9">
                  <c:v>3133</c:v>
                </c:pt>
              </c:numCache>
            </c:numRef>
          </c:val>
          <c:extLst>
            <c:ext xmlns:c16="http://schemas.microsoft.com/office/drawing/2014/chart" uri="{C3380CC4-5D6E-409C-BE32-E72D297353CC}">
              <c16:uniqueId val="{00000000-10F0-40E3-A25F-140F1269C51B}"/>
            </c:ext>
          </c:extLst>
        </c:ser>
        <c:ser>
          <c:idx val="1"/>
          <c:order val="1"/>
          <c:tx>
            <c:strRef>
              <c:f>'Customer Retention'!$I$2:$I$3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Retention'!$G$4:$G$14</c:f>
              <c:strCache>
                <c:ptCount val="10"/>
                <c:pt idx="0">
                  <c:v>Auto</c:v>
                </c:pt>
                <c:pt idx="1">
                  <c:v>Bed_Bath_Table</c:v>
                </c:pt>
                <c:pt idx="2">
                  <c:v>Fashion_Bags_Accessories</c:v>
                </c:pt>
                <c:pt idx="3">
                  <c:v>Health_Beauty</c:v>
                </c:pt>
                <c:pt idx="4">
                  <c:v>Housewares</c:v>
                </c:pt>
                <c:pt idx="5">
                  <c:v>Perfumery</c:v>
                </c:pt>
                <c:pt idx="6">
                  <c:v>Sports_Leisure</c:v>
                </c:pt>
                <c:pt idx="7">
                  <c:v>Stationery</c:v>
                </c:pt>
                <c:pt idx="8">
                  <c:v>Toys</c:v>
                </c:pt>
                <c:pt idx="9">
                  <c:v>Watches_Gifts</c:v>
                </c:pt>
              </c:strCache>
            </c:strRef>
          </c:cat>
          <c:val>
            <c:numRef>
              <c:f>'Customer Retention'!$I$4:$I$14</c:f>
              <c:numCache>
                <c:formatCode>General</c:formatCode>
                <c:ptCount val="10"/>
                <c:pt idx="0">
                  <c:v>3223</c:v>
                </c:pt>
                <c:pt idx="1">
                  <c:v>5610</c:v>
                </c:pt>
                <c:pt idx="2">
                  <c:v>3272</c:v>
                </c:pt>
                <c:pt idx="3">
                  <c:v>4767</c:v>
                </c:pt>
                <c:pt idx="4">
                  <c:v>4707</c:v>
                </c:pt>
                <c:pt idx="5">
                  <c:v>3346</c:v>
                </c:pt>
                <c:pt idx="6">
                  <c:v>5542</c:v>
                </c:pt>
                <c:pt idx="7">
                  <c:v>3312</c:v>
                </c:pt>
                <c:pt idx="8">
                  <c:v>2998</c:v>
                </c:pt>
                <c:pt idx="9">
                  <c:v>2801</c:v>
                </c:pt>
              </c:numCache>
            </c:numRef>
          </c:val>
          <c:extLst>
            <c:ext xmlns:c16="http://schemas.microsoft.com/office/drawing/2014/chart" uri="{C3380CC4-5D6E-409C-BE32-E72D297353CC}">
              <c16:uniqueId val="{00000003-10F0-40E3-A25F-140F1269C51B}"/>
            </c:ext>
          </c:extLst>
        </c:ser>
        <c:dLbls>
          <c:dLblPos val="outEnd"/>
          <c:showLegendKey val="0"/>
          <c:showVal val="1"/>
          <c:showCatName val="0"/>
          <c:showSerName val="0"/>
          <c:showPercent val="0"/>
          <c:showBubbleSize val="0"/>
        </c:dLbls>
        <c:gapWidth val="219"/>
        <c:overlap val="-27"/>
        <c:axId val="33214815"/>
        <c:axId val="33213831"/>
      </c:barChart>
      <c:catAx>
        <c:axId val="33214815"/>
        <c:scaling>
          <c:orientation val="minMax"/>
        </c:scaling>
        <c:delete val="0"/>
        <c:axPos val="b"/>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3831"/>
        <c:crosses val="autoZero"/>
        <c:auto val="1"/>
        <c:lblAlgn val="ctr"/>
        <c:lblOffset val="100"/>
        <c:noMultiLvlLbl val="0"/>
      </c:catAx>
      <c:valAx>
        <c:axId val="332138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4815"/>
        <c:crosses val="autoZero"/>
        <c:crossBetween val="between"/>
      </c:valAx>
      <c:spPr>
        <a:noFill/>
        <a:ln>
          <a:noFill/>
        </a:ln>
        <a:effectLst/>
      </c:spPr>
    </c:plotArea>
    <c:legend>
      <c:legendPos val="r"/>
      <c:layout>
        <c:manualLayout>
          <c:xMode val="edge"/>
          <c:yMode val="edge"/>
          <c:x val="0.87253937007874016"/>
          <c:y val="0.27998797458964858"/>
          <c:w val="0.11056944343934877"/>
          <c:h val="0.24286182234000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[RetailTech_excel_dashboard.xlsx]Customer Retention!PivotTable4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50000"/>
            </a:schemeClr>
          </a:solidFill>
          <a:ln w="19050">
            <a:solidFill>
              <a:schemeClr val="lt1"/>
            </a:solidFill>
          </a:ln>
          <a:effectLst/>
        </c:spPr>
      </c:pivotFmt>
    </c:pivotFmts>
    <c:plotArea>
      <c:layout/>
      <c:pieChart>
        <c:varyColors val="1"/>
        <c:ser>
          <c:idx val="0"/>
          <c:order val="0"/>
          <c:tx>
            <c:strRef>
              <c:f>'Customer Retention'!$H$18</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146-4D3F-9F79-8493AA31025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0146-4D3F-9F79-8493AA310250}"/>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146-4D3F-9F79-8493AA3102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Retention'!$G$19:$G$22</c:f>
              <c:strCache>
                <c:ptCount val="3"/>
                <c:pt idx="0">
                  <c:v>Loyal</c:v>
                </c:pt>
                <c:pt idx="1">
                  <c:v>Returning</c:v>
                </c:pt>
                <c:pt idx="2">
                  <c:v>New</c:v>
                </c:pt>
              </c:strCache>
            </c:strRef>
          </c:cat>
          <c:val>
            <c:numRef>
              <c:f>'Customer Retention'!$H$19:$H$22</c:f>
              <c:numCache>
                <c:formatCode>General</c:formatCode>
                <c:ptCount val="3"/>
                <c:pt idx="0">
                  <c:v>19773</c:v>
                </c:pt>
                <c:pt idx="1">
                  <c:v>47361</c:v>
                </c:pt>
                <c:pt idx="2">
                  <c:v>67273</c:v>
                </c:pt>
              </c:numCache>
            </c:numRef>
          </c:val>
          <c:extLst>
            <c:ext xmlns:c16="http://schemas.microsoft.com/office/drawing/2014/chart" uri="{C3380CC4-5D6E-409C-BE32-E72D297353CC}">
              <c16:uniqueId val="{00000000-0146-4D3F-9F79-8493AA3102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[RetailTech_excel_dashboard.xlsx]Sales Summary!PivotTable1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Revenue by Category</a:t>
            </a:r>
            <a:endParaRPr lang="en-US" b="1"/>
          </a:p>
        </c:rich>
      </c:tx>
      <c:layout>
        <c:manualLayout>
          <c:xMode val="edge"/>
          <c:yMode val="edge"/>
          <c:x val="0.39200959004292302"/>
          <c:y val="7.56393377749784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Summary'!$G$3</c:f>
              <c:strCache>
                <c:ptCount val="1"/>
                <c:pt idx="0">
                  <c:v>Total</c:v>
                </c:pt>
              </c:strCache>
            </c:strRef>
          </c:tx>
          <c:spPr>
            <a:solidFill>
              <a:srgbClr val="002060"/>
            </a:solidFill>
            <a:ln>
              <a:noFill/>
            </a:ln>
            <a:effectLst>
              <a:glow rad="63500">
                <a:schemeClr val="accent1">
                  <a:satMod val="175000"/>
                  <a:alpha val="40000"/>
                </a:schemeClr>
              </a:glow>
              <a:outerShdw blurRad="57150" dist="19050" dir="5400000" sx="92000" sy="92000" algn="ctr" rotWithShape="0">
                <a:schemeClr val="bg1">
                  <a:alpha val="4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Summary'!$F$4:$F$14</c:f>
              <c:strCache>
                <c:ptCount val="10"/>
                <c:pt idx="0">
                  <c:v>Auto</c:v>
                </c:pt>
                <c:pt idx="1">
                  <c:v>Bed_Bath_Table</c:v>
                </c:pt>
                <c:pt idx="2">
                  <c:v>Computers_Accessories</c:v>
                </c:pt>
                <c:pt idx="3">
                  <c:v>Furniture_Decor</c:v>
                </c:pt>
                <c:pt idx="4">
                  <c:v>Health_Beauty</c:v>
                </c:pt>
                <c:pt idx="5">
                  <c:v>Housewares</c:v>
                </c:pt>
                <c:pt idx="6">
                  <c:v>Sports_Leisure</c:v>
                </c:pt>
                <c:pt idx="7">
                  <c:v>Telephony</c:v>
                </c:pt>
                <c:pt idx="8">
                  <c:v>Toys</c:v>
                </c:pt>
                <c:pt idx="9">
                  <c:v>Watches_Gifts</c:v>
                </c:pt>
              </c:strCache>
            </c:strRef>
          </c:cat>
          <c:val>
            <c:numRef>
              <c:f>'Sales Summary'!$G$4:$G$14</c:f>
              <c:numCache>
                <c:formatCode>0.00</c:formatCode>
                <c:ptCount val="10"/>
                <c:pt idx="0">
                  <c:v>582614748.64199567</c:v>
                </c:pt>
                <c:pt idx="1">
                  <c:v>1088635622.5939415</c:v>
                </c:pt>
                <c:pt idx="2">
                  <c:v>575756372.83798873</c:v>
                </c:pt>
                <c:pt idx="3">
                  <c:v>1114037603.5879874</c:v>
                </c:pt>
                <c:pt idx="4">
                  <c:v>879417783.62096739</c:v>
                </c:pt>
                <c:pt idx="5">
                  <c:v>836688030.46598494</c:v>
                </c:pt>
                <c:pt idx="6">
                  <c:v>1045712435.5229565</c:v>
                </c:pt>
                <c:pt idx="7">
                  <c:v>384821123.98300844</c:v>
                </c:pt>
                <c:pt idx="8">
                  <c:v>513758134.16301233</c:v>
                </c:pt>
                <c:pt idx="9">
                  <c:v>472548384.19499761</c:v>
                </c:pt>
              </c:numCache>
            </c:numRef>
          </c:val>
          <c:extLst>
            <c:ext xmlns:c16="http://schemas.microsoft.com/office/drawing/2014/chart" uri="{C3380CC4-5D6E-409C-BE32-E72D297353CC}">
              <c16:uniqueId val="{00000000-5960-4AFB-8718-B395F9609E20}"/>
            </c:ext>
          </c:extLst>
        </c:ser>
        <c:dLbls>
          <c:dLblPos val="outEnd"/>
          <c:showLegendKey val="0"/>
          <c:showVal val="1"/>
          <c:showCatName val="0"/>
          <c:showSerName val="0"/>
          <c:showPercent val="0"/>
          <c:showBubbleSize val="0"/>
        </c:dLbls>
        <c:gapWidth val="100"/>
        <c:axId val="485934048"/>
        <c:axId val="836868928"/>
      </c:barChart>
      <c:catAx>
        <c:axId val="485934048"/>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68928"/>
        <c:crossesAt val="0"/>
        <c:auto val="1"/>
        <c:lblAlgn val="ctr"/>
        <c:lblOffset val="100"/>
        <c:noMultiLvlLbl val="0"/>
      </c:catAx>
      <c:valAx>
        <c:axId val="836868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3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[RetailTech_excel_dashboard.xlsx]Sales Summary!PivotTable8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 </a:t>
            </a:r>
            <a:r>
              <a:rPr lang="en-US" sz="1400" b="1" i="0" u="none" strike="noStrike" baseline="0">
                <a:solidFill>
                  <a:sysClr val="windowText" lastClr="000000"/>
                </a:solidFill>
              </a:rPr>
              <a:t>Order Distribution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marker>
          <c:symbol val="none"/>
        </c:marker>
      </c:pivotFmt>
      <c:pivotFmt>
        <c:idx val="1"/>
        <c:spPr>
          <a:ln w="28575" cap="rnd">
            <a:solidFill>
              <a:srgbClr val="00B050"/>
            </a:solidFill>
            <a:round/>
          </a:ln>
          <a:effectLst/>
        </c:spPr>
        <c:marker>
          <c:symbol val="none"/>
        </c:marker>
      </c:pivotFmt>
    </c:pivotFmts>
    <c:plotArea>
      <c:layout/>
      <c:barChart>
        <c:barDir val="col"/>
        <c:grouping val="clustered"/>
        <c:varyColors val="0"/>
        <c:ser>
          <c:idx val="0"/>
          <c:order val="0"/>
          <c:tx>
            <c:strRef>
              <c:f>'Sales Summary'!$G$31</c:f>
              <c:strCache>
                <c:ptCount val="1"/>
                <c:pt idx="0">
                  <c:v>Sum of Total_Revenue</c:v>
                </c:pt>
              </c:strCache>
            </c:strRef>
          </c:tx>
          <c:spPr>
            <a:solidFill>
              <a:schemeClr val="tx1">
                <a:lumMod val="95000"/>
                <a:lumOff val="5000"/>
              </a:schemeClr>
            </a:solidFill>
            <a:ln>
              <a:noFill/>
            </a:ln>
            <a:effectLst/>
          </c:spPr>
          <c:invertIfNegative val="0"/>
          <c:cat>
            <c:strRef>
              <c:f>'Sales Summary'!$F$32:$F$104</c:f>
              <c:strCache>
                <c:ptCount val="72"/>
                <c:pt idx="0">
                  <c:v>Agro_Industry_And_Commerce</c:v>
                </c:pt>
                <c:pt idx="1">
                  <c:v>Air_Conditioning</c:v>
                </c:pt>
                <c:pt idx="2">
                  <c:v>Art</c:v>
                </c:pt>
                <c:pt idx="3">
                  <c:v>Arts_And_Craftmanship</c:v>
                </c:pt>
                <c:pt idx="4">
                  <c:v>Audio</c:v>
                </c:pt>
                <c:pt idx="5">
                  <c:v>Auto</c:v>
                </c:pt>
                <c:pt idx="6">
                  <c:v>Baby</c:v>
                </c:pt>
                <c:pt idx="7">
                  <c:v>Bed_Bath_Table</c:v>
                </c:pt>
                <c:pt idx="8">
                  <c:v>Books_General_Interest</c:v>
                </c:pt>
                <c:pt idx="9">
                  <c:v>Books_Imported</c:v>
                </c:pt>
                <c:pt idx="10">
                  <c:v>Books_Technical</c:v>
                </c:pt>
                <c:pt idx="11">
                  <c:v>Cds_Dvds_Musicals</c:v>
                </c:pt>
                <c:pt idx="12">
                  <c:v>Christmas_Supplies</c:v>
                </c:pt>
                <c:pt idx="13">
                  <c:v>Cine_Photo</c:v>
                </c:pt>
                <c:pt idx="14">
                  <c:v>Computers</c:v>
                </c:pt>
                <c:pt idx="15">
                  <c:v>Computers_Accessories</c:v>
                </c:pt>
                <c:pt idx="16">
                  <c:v>Consoles_Games</c:v>
                </c:pt>
                <c:pt idx="17">
                  <c:v>Construction_Tools_Construction</c:v>
                </c:pt>
                <c:pt idx="18">
                  <c:v>Construction_Tools_Lights</c:v>
                </c:pt>
                <c:pt idx="19">
                  <c:v>Construction_Tools_Safety</c:v>
                </c:pt>
                <c:pt idx="20">
                  <c:v>Cool_Stuff</c:v>
                </c:pt>
                <c:pt idx="21">
                  <c:v>Costruction_Tools_Garden</c:v>
                </c:pt>
                <c:pt idx="22">
                  <c:v>Costruction_Tools_Tools</c:v>
                </c:pt>
                <c:pt idx="23">
                  <c:v>Diapers_And_Hygiene</c:v>
                </c:pt>
                <c:pt idx="24">
                  <c:v>Drinks</c:v>
                </c:pt>
                <c:pt idx="25">
                  <c:v>Dvds_Blu_Ray</c:v>
                </c:pt>
                <c:pt idx="26">
                  <c:v>Electronics</c:v>
                </c:pt>
                <c:pt idx="27">
                  <c:v>Fashio_Female_Clothing</c:v>
                </c:pt>
                <c:pt idx="28">
                  <c:v>Fashion_Bags_Accessories</c:v>
                </c:pt>
                <c:pt idx="29">
                  <c:v>Fashion_Childrens_Clothes</c:v>
                </c:pt>
                <c:pt idx="30">
                  <c:v>Fashion_Male_Clothing</c:v>
                </c:pt>
                <c:pt idx="31">
                  <c:v>Fashion_Shoes</c:v>
                </c:pt>
                <c:pt idx="32">
                  <c:v>Fashion_Sport</c:v>
                </c:pt>
                <c:pt idx="33">
                  <c:v>Fashion_Underwear_Beach</c:v>
                </c:pt>
                <c:pt idx="34">
                  <c:v>Fixed_Telephony</c:v>
                </c:pt>
                <c:pt idx="35">
                  <c:v>Flowers</c:v>
                </c:pt>
                <c:pt idx="36">
                  <c:v>Food</c:v>
                </c:pt>
                <c:pt idx="37">
                  <c:v>Food_Drink</c:v>
                </c:pt>
                <c:pt idx="38">
                  <c:v>Furniture_Bedroom</c:v>
                </c:pt>
                <c:pt idx="39">
                  <c:v>Furniture_Decor</c:v>
                </c:pt>
                <c:pt idx="40">
                  <c:v>Furniture_Living_Room</c:v>
                </c:pt>
                <c:pt idx="41">
                  <c:v>Furniture_Mattress_And_Upholstery</c:v>
                </c:pt>
                <c:pt idx="42">
                  <c:v>Garden_Tools</c:v>
                </c:pt>
                <c:pt idx="43">
                  <c:v>Health_Beauty</c:v>
                </c:pt>
                <c:pt idx="44">
                  <c:v>Home_Appliances</c:v>
                </c:pt>
                <c:pt idx="45">
                  <c:v>Home_Appliances_2</c:v>
                </c:pt>
                <c:pt idx="46">
                  <c:v>Home_Comfort_2</c:v>
                </c:pt>
                <c:pt idx="47">
                  <c:v>Home_Confort</c:v>
                </c:pt>
                <c:pt idx="48">
                  <c:v>Home_Construction</c:v>
                </c:pt>
                <c:pt idx="49">
                  <c:v>Housewares</c:v>
                </c:pt>
                <c:pt idx="50">
                  <c:v>Industry_Commerce_And_Business</c:v>
                </c:pt>
                <c:pt idx="51">
                  <c:v>Kitchen_Dining_Laundry_Garden_Furniture</c:v>
                </c:pt>
                <c:pt idx="52">
                  <c:v>La_Cuisine</c:v>
                </c:pt>
                <c:pt idx="53">
                  <c:v>Luggage_Accessories</c:v>
                </c:pt>
                <c:pt idx="54">
                  <c:v>Market_Place</c:v>
                </c:pt>
                <c:pt idx="55">
                  <c:v>Music</c:v>
                </c:pt>
                <c:pt idx="56">
                  <c:v>Musical_Instruments</c:v>
                </c:pt>
                <c:pt idx="57">
                  <c:v>Office_Furniture</c:v>
                </c:pt>
                <c:pt idx="58">
                  <c:v>Party_Supplies</c:v>
                </c:pt>
                <c:pt idx="59">
                  <c:v>Perfumery</c:v>
                </c:pt>
                <c:pt idx="60">
                  <c:v>Pet_Shop</c:v>
                </c:pt>
                <c:pt idx="61">
                  <c:v>Security_And_Services</c:v>
                </c:pt>
                <c:pt idx="62">
                  <c:v>Signaling_And_Security</c:v>
                </c:pt>
                <c:pt idx="63">
                  <c:v>Small_Appliances</c:v>
                </c:pt>
                <c:pt idx="64">
                  <c:v>Small_Appliances_Home_Oven_And_Coffee</c:v>
                </c:pt>
                <c:pt idx="65">
                  <c:v>Sports_Leisure</c:v>
                </c:pt>
                <c:pt idx="66">
                  <c:v>Stationery</c:v>
                </c:pt>
                <c:pt idx="67">
                  <c:v>Tablets_Printing_Image</c:v>
                </c:pt>
                <c:pt idx="68">
                  <c:v>Telephony</c:v>
                </c:pt>
                <c:pt idx="69">
                  <c:v>Toys</c:v>
                </c:pt>
                <c:pt idx="70">
                  <c:v>Watches_Gifts</c:v>
                </c:pt>
                <c:pt idx="71">
                  <c:v>(blank)</c:v>
                </c:pt>
              </c:strCache>
            </c:strRef>
          </c:cat>
          <c:val>
            <c:numRef>
              <c:f>'Sales Summary'!$G$32:$G$104</c:f>
              <c:numCache>
                <c:formatCode>General</c:formatCode>
                <c:ptCount val="72"/>
                <c:pt idx="0">
                  <c:v>28324410.778000023</c:v>
                </c:pt>
                <c:pt idx="1">
                  <c:v>48520972.90999981</c:v>
                </c:pt>
                <c:pt idx="2">
                  <c:v>13150660.755999999</c:v>
                </c:pt>
                <c:pt idx="3">
                  <c:v>5519837.123000036</c:v>
                </c:pt>
                <c:pt idx="4">
                  <c:v>15309562.157999996</c:v>
                </c:pt>
                <c:pt idx="5">
                  <c:v>582614748.64199567</c:v>
                </c:pt>
                <c:pt idx="6">
                  <c:v>336341199.57000065</c:v>
                </c:pt>
                <c:pt idx="7">
                  <c:v>1088635622.5939415</c:v>
                </c:pt>
                <c:pt idx="8">
                  <c:v>58604853.052999385</c:v>
                </c:pt>
                <c:pt idx="9">
                  <c:v>6996074.3379999679</c:v>
                </c:pt>
                <c:pt idx="10">
                  <c:v>39249604.014000297</c:v>
                </c:pt>
                <c:pt idx="11">
                  <c:v>1019209.960000001</c:v>
                </c:pt>
                <c:pt idx="12">
                  <c:v>24714953.862000175</c:v>
                </c:pt>
                <c:pt idx="13">
                  <c:v>12376800.464000039</c:v>
                </c:pt>
                <c:pt idx="14">
                  <c:v>9928353.4410000127</c:v>
                </c:pt>
                <c:pt idx="15">
                  <c:v>575756372.83798873</c:v>
                </c:pt>
                <c:pt idx="16">
                  <c:v>111144416.95500065</c:v>
                </c:pt>
                <c:pt idx="17">
                  <c:v>144518863.85200012</c:v>
                </c:pt>
                <c:pt idx="18">
                  <c:v>29064888.169000063</c:v>
                </c:pt>
                <c:pt idx="19">
                  <c:v>28336907.244000208</c:v>
                </c:pt>
                <c:pt idx="20">
                  <c:v>290511780.75801092</c:v>
                </c:pt>
                <c:pt idx="21">
                  <c:v>32239451.045999862</c:v>
                </c:pt>
                <c:pt idx="22">
                  <c:v>13908117.511999998</c:v>
                </c:pt>
                <c:pt idx="23">
                  <c:v>2454303.3310000016</c:v>
                </c:pt>
                <c:pt idx="24">
                  <c:v>26343777.516000014</c:v>
                </c:pt>
                <c:pt idx="25">
                  <c:v>14166874.84100006</c:v>
                </c:pt>
                <c:pt idx="26">
                  <c:v>198923471.18799824</c:v>
                </c:pt>
                <c:pt idx="27">
                  <c:v>8566203.7889999822</c:v>
                </c:pt>
                <c:pt idx="28">
                  <c:v>355340986.9119882</c:v>
                </c:pt>
                <c:pt idx="29">
                  <c:v>1406116.7349999887</c:v>
                </c:pt>
                <c:pt idx="30">
                  <c:v>39418235.616999514</c:v>
                </c:pt>
                <c:pt idx="31">
                  <c:v>76782652.24599877</c:v>
                </c:pt>
                <c:pt idx="32">
                  <c:v>9943328.2010000106</c:v>
                </c:pt>
                <c:pt idx="33">
                  <c:v>24491584.410000354</c:v>
                </c:pt>
                <c:pt idx="34">
                  <c:v>41348991.041000538</c:v>
                </c:pt>
                <c:pt idx="35">
                  <c:v>3646049.6989999935</c:v>
                </c:pt>
                <c:pt idx="36">
                  <c:v>32147923.281000137</c:v>
                </c:pt>
                <c:pt idx="37">
                  <c:v>45331932.442999773</c:v>
                </c:pt>
                <c:pt idx="38">
                  <c:v>16730352.405000005</c:v>
                </c:pt>
                <c:pt idx="39">
                  <c:v>1114037603.5879874</c:v>
                </c:pt>
                <c:pt idx="40">
                  <c:v>50351922.739000037</c:v>
                </c:pt>
                <c:pt idx="41">
                  <c:v>6356693.8880000003</c:v>
                </c:pt>
                <c:pt idx="42">
                  <c:v>275610174.62999654</c:v>
                </c:pt>
                <c:pt idx="43">
                  <c:v>879417783.62096739</c:v>
                </c:pt>
                <c:pt idx="44">
                  <c:v>168259482.36200052</c:v>
                </c:pt>
                <c:pt idx="45">
                  <c:v>46239201.771000288</c:v>
                </c:pt>
                <c:pt idx="46">
                  <c:v>7459950.9240000127</c:v>
                </c:pt>
                <c:pt idx="47">
                  <c:v>49033986.209000111</c:v>
                </c:pt>
                <c:pt idx="48">
                  <c:v>93756676.727000549</c:v>
                </c:pt>
                <c:pt idx="49">
                  <c:v>836688030.46598494</c:v>
                </c:pt>
                <c:pt idx="50">
                  <c:v>21890371.048000243</c:v>
                </c:pt>
                <c:pt idx="51">
                  <c:v>42212763.804999955</c:v>
                </c:pt>
                <c:pt idx="52">
                  <c:v>3638163.17199999</c:v>
                </c:pt>
                <c:pt idx="53">
                  <c:v>123117692.21199679</c:v>
                </c:pt>
                <c:pt idx="54">
                  <c:v>45965932.159999371</c:v>
                </c:pt>
                <c:pt idx="55">
                  <c:v>9799853.8789999615</c:v>
                </c:pt>
                <c:pt idx="56">
                  <c:v>102323426.87599881</c:v>
                </c:pt>
                <c:pt idx="57">
                  <c:v>135125843.79699785</c:v>
                </c:pt>
                <c:pt idx="58">
                  <c:v>7873593.4459999958</c:v>
                </c:pt>
                <c:pt idx="59">
                  <c:v>303001691.49200803</c:v>
                </c:pt>
                <c:pt idx="60">
                  <c:v>295047869.91600329</c:v>
                </c:pt>
                <c:pt idx="61">
                  <c:v>428334.95800000016</c:v>
                </c:pt>
                <c:pt idx="62">
                  <c:v>26340701.327999704</c:v>
                </c:pt>
                <c:pt idx="63">
                  <c:v>90153913.987999782</c:v>
                </c:pt>
                <c:pt idx="64">
                  <c:v>11997319.857999962</c:v>
                </c:pt>
                <c:pt idx="65">
                  <c:v>1045712435.5229565</c:v>
                </c:pt>
                <c:pt idx="66">
                  <c:v>233511781.98499176</c:v>
                </c:pt>
                <c:pt idx="67">
                  <c:v>4418167.3520000055</c:v>
                </c:pt>
                <c:pt idx="68">
                  <c:v>384821123.98300844</c:v>
                </c:pt>
                <c:pt idx="69">
                  <c:v>513758134.16301233</c:v>
                </c:pt>
                <c:pt idx="70">
                  <c:v>472548384.19499761</c:v>
                </c:pt>
              </c:numCache>
            </c:numRef>
          </c:val>
          <c:extLst>
            <c:ext xmlns:c16="http://schemas.microsoft.com/office/drawing/2014/chart" uri="{C3380CC4-5D6E-409C-BE32-E72D297353CC}">
              <c16:uniqueId val="{00000000-1274-4A3B-AE8A-26783F906101}"/>
            </c:ext>
          </c:extLst>
        </c:ser>
        <c:dLbls>
          <c:showLegendKey val="0"/>
          <c:showVal val="0"/>
          <c:showCatName val="0"/>
          <c:showSerName val="0"/>
          <c:showPercent val="0"/>
          <c:showBubbleSize val="0"/>
        </c:dLbls>
        <c:gapWidth val="219"/>
        <c:axId val="381307672"/>
        <c:axId val="381310296"/>
      </c:barChart>
      <c:lineChart>
        <c:grouping val="standard"/>
        <c:varyColors val="0"/>
        <c:ser>
          <c:idx val="1"/>
          <c:order val="1"/>
          <c:tx>
            <c:strRef>
              <c:f>'Sales Summary'!$H$31</c:f>
              <c:strCache>
                <c:ptCount val="1"/>
                <c:pt idx="0">
                  <c:v>Sum of Average_Order_Value</c:v>
                </c:pt>
              </c:strCache>
            </c:strRef>
          </c:tx>
          <c:spPr>
            <a:ln w="28575" cap="rnd">
              <a:solidFill>
                <a:srgbClr val="00B050"/>
              </a:solidFill>
              <a:round/>
            </a:ln>
            <a:effectLst/>
          </c:spPr>
          <c:marker>
            <c:symbol val="none"/>
          </c:marker>
          <c:cat>
            <c:strRef>
              <c:f>'Sales Summary'!$F$32:$F$104</c:f>
              <c:strCache>
                <c:ptCount val="72"/>
                <c:pt idx="0">
                  <c:v>Agro_Industry_And_Commerce</c:v>
                </c:pt>
                <c:pt idx="1">
                  <c:v>Air_Conditioning</c:v>
                </c:pt>
                <c:pt idx="2">
                  <c:v>Art</c:v>
                </c:pt>
                <c:pt idx="3">
                  <c:v>Arts_And_Craftmanship</c:v>
                </c:pt>
                <c:pt idx="4">
                  <c:v>Audio</c:v>
                </c:pt>
                <c:pt idx="5">
                  <c:v>Auto</c:v>
                </c:pt>
                <c:pt idx="6">
                  <c:v>Baby</c:v>
                </c:pt>
                <c:pt idx="7">
                  <c:v>Bed_Bath_Table</c:v>
                </c:pt>
                <c:pt idx="8">
                  <c:v>Books_General_Interest</c:v>
                </c:pt>
                <c:pt idx="9">
                  <c:v>Books_Imported</c:v>
                </c:pt>
                <c:pt idx="10">
                  <c:v>Books_Technical</c:v>
                </c:pt>
                <c:pt idx="11">
                  <c:v>Cds_Dvds_Musicals</c:v>
                </c:pt>
                <c:pt idx="12">
                  <c:v>Christmas_Supplies</c:v>
                </c:pt>
                <c:pt idx="13">
                  <c:v>Cine_Photo</c:v>
                </c:pt>
                <c:pt idx="14">
                  <c:v>Computers</c:v>
                </c:pt>
                <c:pt idx="15">
                  <c:v>Computers_Accessories</c:v>
                </c:pt>
                <c:pt idx="16">
                  <c:v>Consoles_Games</c:v>
                </c:pt>
                <c:pt idx="17">
                  <c:v>Construction_Tools_Construction</c:v>
                </c:pt>
                <c:pt idx="18">
                  <c:v>Construction_Tools_Lights</c:v>
                </c:pt>
                <c:pt idx="19">
                  <c:v>Construction_Tools_Safety</c:v>
                </c:pt>
                <c:pt idx="20">
                  <c:v>Cool_Stuff</c:v>
                </c:pt>
                <c:pt idx="21">
                  <c:v>Costruction_Tools_Garden</c:v>
                </c:pt>
                <c:pt idx="22">
                  <c:v>Costruction_Tools_Tools</c:v>
                </c:pt>
                <c:pt idx="23">
                  <c:v>Diapers_And_Hygiene</c:v>
                </c:pt>
                <c:pt idx="24">
                  <c:v>Drinks</c:v>
                </c:pt>
                <c:pt idx="25">
                  <c:v>Dvds_Blu_Ray</c:v>
                </c:pt>
                <c:pt idx="26">
                  <c:v>Electronics</c:v>
                </c:pt>
                <c:pt idx="27">
                  <c:v>Fashio_Female_Clothing</c:v>
                </c:pt>
                <c:pt idx="28">
                  <c:v>Fashion_Bags_Accessories</c:v>
                </c:pt>
                <c:pt idx="29">
                  <c:v>Fashion_Childrens_Clothes</c:v>
                </c:pt>
                <c:pt idx="30">
                  <c:v>Fashion_Male_Clothing</c:v>
                </c:pt>
                <c:pt idx="31">
                  <c:v>Fashion_Shoes</c:v>
                </c:pt>
                <c:pt idx="32">
                  <c:v>Fashion_Sport</c:v>
                </c:pt>
                <c:pt idx="33">
                  <c:v>Fashion_Underwear_Beach</c:v>
                </c:pt>
                <c:pt idx="34">
                  <c:v>Fixed_Telephony</c:v>
                </c:pt>
                <c:pt idx="35">
                  <c:v>Flowers</c:v>
                </c:pt>
                <c:pt idx="36">
                  <c:v>Food</c:v>
                </c:pt>
                <c:pt idx="37">
                  <c:v>Food_Drink</c:v>
                </c:pt>
                <c:pt idx="38">
                  <c:v>Furniture_Bedroom</c:v>
                </c:pt>
                <c:pt idx="39">
                  <c:v>Furniture_Decor</c:v>
                </c:pt>
                <c:pt idx="40">
                  <c:v>Furniture_Living_Room</c:v>
                </c:pt>
                <c:pt idx="41">
                  <c:v>Furniture_Mattress_And_Upholstery</c:v>
                </c:pt>
                <c:pt idx="42">
                  <c:v>Garden_Tools</c:v>
                </c:pt>
                <c:pt idx="43">
                  <c:v>Health_Beauty</c:v>
                </c:pt>
                <c:pt idx="44">
                  <c:v>Home_Appliances</c:v>
                </c:pt>
                <c:pt idx="45">
                  <c:v>Home_Appliances_2</c:v>
                </c:pt>
                <c:pt idx="46">
                  <c:v>Home_Comfort_2</c:v>
                </c:pt>
                <c:pt idx="47">
                  <c:v>Home_Confort</c:v>
                </c:pt>
                <c:pt idx="48">
                  <c:v>Home_Construction</c:v>
                </c:pt>
                <c:pt idx="49">
                  <c:v>Housewares</c:v>
                </c:pt>
                <c:pt idx="50">
                  <c:v>Industry_Commerce_And_Business</c:v>
                </c:pt>
                <c:pt idx="51">
                  <c:v>Kitchen_Dining_Laundry_Garden_Furniture</c:v>
                </c:pt>
                <c:pt idx="52">
                  <c:v>La_Cuisine</c:v>
                </c:pt>
                <c:pt idx="53">
                  <c:v>Luggage_Accessories</c:v>
                </c:pt>
                <c:pt idx="54">
                  <c:v>Market_Place</c:v>
                </c:pt>
                <c:pt idx="55">
                  <c:v>Music</c:v>
                </c:pt>
                <c:pt idx="56">
                  <c:v>Musical_Instruments</c:v>
                </c:pt>
                <c:pt idx="57">
                  <c:v>Office_Furniture</c:v>
                </c:pt>
                <c:pt idx="58">
                  <c:v>Party_Supplies</c:v>
                </c:pt>
                <c:pt idx="59">
                  <c:v>Perfumery</c:v>
                </c:pt>
                <c:pt idx="60">
                  <c:v>Pet_Shop</c:v>
                </c:pt>
                <c:pt idx="61">
                  <c:v>Security_And_Services</c:v>
                </c:pt>
                <c:pt idx="62">
                  <c:v>Signaling_And_Security</c:v>
                </c:pt>
                <c:pt idx="63">
                  <c:v>Small_Appliances</c:v>
                </c:pt>
                <c:pt idx="64">
                  <c:v>Small_Appliances_Home_Oven_And_Coffee</c:v>
                </c:pt>
                <c:pt idx="65">
                  <c:v>Sports_Leisure</c:v>
                </c:pt>
                <c:pt idx="66">
                  <c:v>Stationery</c:v>
                </c:pt>
                <c:pt idx="67">
                  <c:v>Tablets_Printing_Image</c:v>
                </c:pt>
                <c:pt idx="68">
                  <c:v>Telephony</c:v>
                </c:pt>
                <c:pt idx="69">
                  <c:v>Toys</c:v>
                </c:pt>
                <c:pt idx="70">
                  <c:v>Watches_Gifts</c:v>
                </c:pt>
                <c:pt idx="71">
                  <c:v>(blank)</c:v>
                </c:pt>
              </c:strCache>
            </c:strRef>
          </c:cat>
          <c:val>
            <c:numRef>
              <c:f>'Sales Summary'!$H$32:$H$104</c:f>
              <c:numCache>
                <c:formatCode>General</c:formatCode>
                <c:ptCount val="72"/>
                <c:pt idx="0">
                  <c:v>5529.9513428348346</c:v>
                </c:pt>
                <c:pt idx="1">
                  <c:v>5978.4343161655752</c:v>
                </c:pt>
                <c:pt idx="2">
                  <c:v>4960.6415526216515</c:v>
                </c:pt>
                <c:pt idx="3">
                  <c:v>8931.7752799353329</c:v>
                </c:pt>
                <c:pt idx="4">
                  <c:v>33137.580428571418</c:v>
                </c:pt>
                <c:pt idx="5">
                  <c:v>6234.2408954351413</c:v>
                </c:pt>
                <c:pt idx="6">
                  <c:v>5801.8871430543004</c:v>
                </c:pt>
                <c:pt idx="7">
                  <c:v>5928.5160820246556</c:v>
                </c:pt>
                <c:pt idx="8">
                  <c:v>2284.61145536408</c:v>
                </c:pt>
                <c:pt idx="9">
                  <c:v>1913.5870727571028</c:v>
                </c:pt>
                <c:pt idx="10">
                  <c:v>2624.3383266916485</c:v>
                </c:pt>
                <c:pt idx="11">
                  <c:v>16986.832666666684</c:v>
                </c:pt>
                <c:pt idx="12">
                  <c:v>6143.4138359433691</c:v>
                </c:pt>
                <c:pt idx="13">
                  <c:v>6815.4187577092725</c:v>
                </c:pt>
                <c:pt idx="14">
                  <c:v>22771.452846330303</c:v>
                </c:pt>
                <c:pt idx="15">
                  <c:v>21599.503782937754</c:v>
                </c:pt>
                <c:pt idx="16">
                  <c:v>23044.664514824934</c:v>
                </c:pt>
                <c:pt idx="17">
                  <c:v>5820.8016695666229</c:v>
                </c:pt>
                <c:pt idx="18">
                  <c:v>5684.5077584588425</c:v>
                </c:pt>
                <c:pt idx="19">
                  <c:v>5174.7456617969701</c:v>
                </c:pt>
                <c:pt idx="20">
                  <c:v>6119.2581518275074</c:v>
                </c:pt>
                <c:pt idx="21">
                  <c:v>5707.1076378119778</c:v>
                </c:pt>
                <c:pt idx="22">
                  <c:v>7206.2785036269424</c:v>
                </c:pt>
                <c:pt idx="23">
                  <c:v>4765.637535922333</c:v>
                </c:pt>
                <c:pt idx="24">
                  <c:v>5938.6333444544662</c:v>
                </c:pt>
                <c:pt idx="25">
                  <c:v>4497.4205844444632</c:v>
                </c:pt>
                <c:pt idx="26">
                  <c:v>24452.793016348893</c:v>
                </c:pt>
                <c:pt idx="27">
                  <c:v>4374.9763988763953</c:v>
                </c:pt>
                <c:pt idx="28">
                  <c:v>3528.2534222194572</c:v>
                </c:pt>
                <c:pt idx="29">
                  <c:v>1955.6560987482458</c:v>
                </c:pt>
                <c:pt idx="30">
                  <c:v>3561.781477997607</c:v>
                </c:pt>
                <c:pt idx="31">
                  <c:v>3491.5489175571265</c:v>
                </c:pt>
                <c:pt idx="32">
                  <c:v>4215.0607041119165</c:v>
                </c:pt>
                <c:pt idx="33">
                  <c:v>3635.384356538571</c:v>
                </c:pt>
                <c:pt idx="34">
                  <c:v>5850.1685117431434</c:v>
                </c:pt>
                <c:pt idx="35">
                  <c:v>4304.6631629279736</c:v>
                </c:pt>
                <c:pt idx="36">
                  <c:v>5996.6281068830694</c:v>
                </c:pt>
                <c:pt idx="37">
                  <c:v>6747.8315634116962</c:v>
                </c:pt>
                <c:pt idx="38">
                  <c:v>33867.110131578956</c:v>
                </c:pt>
                <c:pt idx="39">
                  <c:v>29671.272667873738</c:v>
                </c:pt>
                <c:pt idx="40">
                  <c:v>37353.058411721096</c:v>
                </c:pt>
                <c:pt idx="41">
                  <c:v>33107.780666666666</c:v>
                </c:pt>
                <c:pt idx="42">
                  <c:v>6258.7468123807012</c:v>
                </c:pt>
                <c:pt idx="43">
                  <c:v>5998.1842363005399</c:v>
                </c:pt>
                <c:pt idx="44">
                  <c:v>33266.010747726476</c:v>
                </c:pt>
                <c:pt idx="45">
                  <c:v>26332.119459567362</c:v>
                </c:pt>
                <c:pt idx="46">
                  <c:v>90975.011268292845</c:v>
                </c:pt>
                <c:pt idx="47">
                  <c:v>37805.694841172022</c:v>
                </c:pt>
                <c:pt idx="48">
                  <c:v>32599.678973226895</c:v>
                </c:pt>
                <c:pt idx="49">
                  <c:v>5919.0550774007634</c:v>
                </c:pt>
                <c:pt idx="50">
                  <c:v>4828.0483123070671</c:v>
                </c:pt>
                <c:pt idx="51">
                  <c:v>33689.356588188311</c:v>
                </c:pt>
                <c:pt idx="52">
                  <c:v>6338.2633658536415</c:v>
                </c:pt>
                <c:pt idx="53">
                  <c:v>5831.0927447189915</c:v>
                </c:pt>
                <c:pt idx="54">
                  <c:v>6359.4261427779984</c:v>
                </c:pt>
                <c:pt idx="55">
                  <c:v>6375.9621854261295</c:v>
                </c:pt>
                <c:pt idx="56">
                  <c:v>5846.0507842083534</c:v>
                </c:pt>
                <c:pt idx="57">
                  <c:v>22611.419644745289</c:v>
                </c:pt>
                <c:pt idx="58">
                  <c:v>6961.6210839964597</c:v>
                </c:pt>
                <c:pt idx="59">
                  <c:v>2889.5831727256154</c:v>
                </c:pt>
                <c:pt idx="60">
                  <c:v>4806.2009466843128</c:v>
                </c:pt>
                <c:pt idx="61">
                  <c:v>8398.7246666666706</c:v>
                </c:pt>
                <c:pt idx="62">
                  <c:v>6197.8120771764006</c:v>
                </c:pt>
                <c:pt idx="63">
                  <c:v>6251.1381214810554</c:v>
                </c:pt>
                <c:pt idx="64">
                  <c:v>24139.476575452638</c:v>
                </c:pt>
                <c:pt idx="65">
                  <c:v>5961.8045149026611</c:v>
                </c:pt>
                <c:pt idx="66">
                  <c:v>2259.7987282377535</c:v>
                </c:pt>
                <c:pt idx="67">
                  <c:v>6144.8780973574485</c:v>
                </c:pt>
                <c:pt idx="68">
                  <c:v>6037.5462672661279</c:v>
                </c:pt>
                <c:pt idx="69">
                  <c:v>5782.43893124226</c:v>
                </c:pt>
                <c:pt idx="70">
                  <c:v>5883.614525063469</c:v>
                </c:pt>
              </c:numCache>
            </c:numRef>
          </c:val>
          <c:smooth val="0"/>
          <c:extLst>
            <c:ext xmlns:c16="http://schemas.microsoft.com/office/drawing/2014/chart" uri="{C3380CC4-5D6E-409C-BE32-E72D297353CC}">
              <c16:uniqueId val="{00000001-1274-4A3B-AE8A-26783F906101}"/>
            </c:ext>
          </c:extLst>
        </c:ser>
        <c:dLbls>
          <c:showLegendKey val="0"/>
          <c:showVal val="0"/>
          <c:showCatName val="0"/>
          <c:showSerName val="0"/>
          <c:showPercent val="0"/>
          <c:showBubbleSize val="0"/>
        </c:dLbls>
        <c:marker val="1"/>
        <c:smooth val="0"/>
        <c:axId val="381313904"/>
        <c:axId val="381313576"/>
      </c:lineChart>
      <c:valAx>
        <c:axId val="381313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13904"/>
        <c:crosses val="autoZero"/>
        <c:crossBetween val="between"/>
      </c:valAx>
      <c:catAx>
        <c:axId val="381313904"/>
        <c:scaling>
          <c:orientation val="minMax"/>
        </c:scaling>
        <c:delete val="1"/>
        <c:axPos val="b"/>
        <c:numFmt formatCode="General" sourceLinked="1"/>
        <c:majorTickMark val="out"/>
        <c:minorTickMark val="none"/>
        <c:tickLblPos val="nextTo"/>
        <c:crossAx val="381313576"/>
        <c:crosses val="autoZero"/>
        <c:auto val="1"/>
        <c:lblAlgn val="ctr"/>
        <c:lblOffset val="100"/>
        <c:noMultiLvlLbl val="0"/>
      </c:catAx>
      <c:valAx>
        <c:axId val="381310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07672"/>
        <c:crosses val="max"/>
        <c:crossBetween val="between"/>
      </c:valAx>
      <c:catAx>
        <c:axId val="381307672"/>
        <c:scaling>
          <c:orientation val="minMax"/>
        </c:scaling>
        <c:delete val="1"/>
        <c:axPos val="b"/>
        <c:numFmt formatCode="General" sourceLinked="1"/>
        <c:majorTickMark val="out"/>
        <c:minorTickMark val="none"/>
        <c:tickLblPos val="nextTo"/>
        <c:crossAx val="381310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94981</xdr:colOff>
      <xdr:row>0</xdr:row>
      <xdr:rowOff>63667</xdr:rowOff>
    </xdr:from>
    <xdr:to>
      <xdr:col>28</xdr:col>
      <xdr:colOff>326572</xdr:colOff>
      <xdr:row>4</xdr:row>
      <xdr:rowOff>122464</xdr:rowOff>
    </xdr:to>
    <xdr:sp macro="" textlink="">
      <xdr:nvSpPr>
        <xdr:cNvPr id="2" name="TextBox 1">
          <a:extLst>
            <a:ext uri="{FF2B5EF4-FFF2-40B4-BE49-F238E27FC236}">
              <a16:creationId xmlns:a16="http://schemas.microsoft.com/office/drawing/2014/main" id="{143BE64D-5321-4C32-B320-C0653DCB26FB}"/>
            </a:ext>
          </a:extLst>
        </xdr:cNvPr>
        <xdr:cNvSpPr txBox="1"/>
      </xdr:nvSpPr>
      <xdr:spPr>
        <a:xfrm>
          <a:off x="707302" y="63667"/>
          <a:ext cx="16764270" cy="820797"/>
        </a:xfrm>
        <a:prstGeom prst="rect">
          <a:avLst/>
        </a:prstGeom>
        <a:solidFill>
          <a:srgbClr val="00B0F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u="sng">
              <a:solidFill>
                <a:schemeClr val="bg1"/>
              </a:solidFill>
            </a:rPr>
            <a:t>E-Commerce Sales Analysis for Customer Conversion &amp; Retention</a:t>
          </a:r>
        </a:p>
      </xdr:txBody>
    </xdr:sp>
    <xdr:clientData/>
  </xdr:twoCellAnchor>
  <xdr:twoCellAnchor>
    <xdr:from>
      <xdr:col>4</xdr:col>
      <xdr:colOff>449035</xdr:colOff>
      <xdr:row>6</xdr:row>
      <xdr:rowOff>27216</xdr:rowOff>
    </xdr:from>
    <xdr:to>
      <xdr:col>8</xdr:col>
      <xdr:colOff>25639</xdr:colOff>
      <xdr:row>11</xdr:row>
      <xdr:rowOff>86640</xdr:rowOff>
    </xdr:to>
    <xdr:sp macro="" textlink="">
      <xdr:nvSpPr>
        <xdr:cNvPr id="3" name="Rectangle: Rounded Corners 2">
          <a:extLst>
            <a:ext uri="{FF2B5EF4-FFF2-40B4-BE49-F238E27FC236}">
              <a16:creationId xmlns:a16="http://schemas.microsoft.com/office/drawing/2014/main" id="{8FAC5A7D-23F1-4747-A24C-9044FE344F1B}"/>
            </a:ext>
          </a:extLst>
        </xdr:cNvPr>
        <xdr:cNvSpPr/>
      </xdr:nvSpPr>
      <xdr:spPr>
        <a:xfrm>
          <a:off x="2898321" y="1170216"/>
          <a:ext cx="2025889" cy="1011924"/>
        </a:xfrm>
        <a:prstGeom prst="roundRect">
          <a:avLst/>
        </a:prstGeom>
        <a:solidFill>
          <a:srgbClr val="FF99CC"/>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400" b="1"/>
            <a:t>💰 Total Revenue</a:t>
          </a:r>
        </a:p>
        <a:p>
          <a:pPr algn="ctr"/>
          <a:r>
            <a:rPr lang="en-US" sz="1400" b="1">
              <a:solidFill>
                <a:schemeClr val="accent2">
                  <a:lumMod val="50000"/>
                </a:schemeClr>
              </a:solidFill>
            </a:rPr>
            <a:t>11794729452</a:t>
          </a:r>
        </a:p>
      </xdr:txBody>
    </xdr:sp>
    <xdr:clientData/>
  </xdr:twoCellAnchor>
  <xdr:twoCellAnchor>
    <xdr:from>
      <xdr:col>8</xdr:col>
      <xdr:colOff>163287</xdr:colOff>
      <xdr:row>6</xdr:row>
      <xdr:rowOff>40822</xdr:rowOff>
    </xdr:from>
    <xdr:to>
      <xdr:col>11</xdr:col>
      <xdr:colOff>449018</xdr:colOff>
      <xdr:row>11</xdr:row>
      <xdr:rowOff>94856</xdr:rowOff>
    </xdr:to>
    <xdr:sp macro="" textlink="">
      <xdr:nvSpPr>
        <xdr:cNvPr id="4" name="Rectangle: Rounded Corners 3">
          <a:extLst>
            <a:ext uri="{FF2B5EF4-FFF2-40B4-BE49-F238E27FC236}">
              <a16:creationId xmlns:a16="http://schemas.microsoft.com/office/drawing/2014/main" id="{57BDEAD0-FC5E-4F0E-A769-209F26AA99CB}"/>
            </a:ext>
          </a:extLst>
        </xdr:cNvPr>
        <xdr:cNvSpPr/>
      </xdr:nvSpPr>
      <xdr:spPr>
        <a:xfrm>
          <a:off x="5061858" y="1183822"/>
          <a:ext cx="2122696" cy="1006534"/>
        </a:xfrm>
        <a:prstGeom prst="roundRect">
          <a:avLst/>
        </a:prstGeom>
        <a:solidFill>
          <a:srgbClr val="FF99CC"/>
        </a:solidFill>
        <a:ln>
          <a:solidFill>
            <a:schemeClr val="bg1"/>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400" b="1"/>
            <a:t>📦 Total Orders</a:t>
          </a:r>
        </a:p>
        <a:p>
          <a:pPr algn="ctr"/>
          <a:r>
            <a:rPr lang="en-US" sz="1400" b="1"/>
            <a:t>            </a:t>
          </a:r>
          <a:r>
            <a:rPr lang="en-US" sz="1400" b="1">
              <a:solidFill>
                <a:schemeClr val="accent2">
                  <a:lumMod val="50000"/>
                </a:schemeClr>
              </a:solidFill>
            </a:rPr>
            <a:t>138017</a:t>
          </a:r>
        </a:p>
      </xdr:txBody>
    </xdr:sp>
    <xdr:clientData/>
  </xdr:twoCellAnchor>
  <xdr:twoCellAnchor>
    <xdr:from>
      <xdr:col>12</xdr:col>
      <xdr:colOff>1</xdr:colOff>
      <xdr:row>6</xdr:row>
      <xdr:rowOff>40822</xdr:rowOff>
    </xdr:from>
    <xdr:to>
      <xdr:col>15</xdr:col>
      <xdr:colOff>386462</xdr:colOff>
      <xdr:row>11</xdr:row>
      <xdr:rowOff>50347</xdr:rowOff>
    </xdr:to>
    <xdr:sp macro="" textlink="">
      <xdr:nvSpPr>
        <xdr:cNvPr id="5" name="Rectangle: Rounded Corners 4">
          <a:extLst>
            <a:ext uri="{FF2B5EF4-FFF2-40B4-BE49-F238E27FC236}">
              <a16:creationId xmlns:a16="http://schemas.microsoft.com/office/drawing/2014/main" id="{443A7AD5-216D-4397-B086-FE7ABED27BC4}"/>
            </a:ext>
          </a:extLst>
        </xdr:cNvPr>
        <xdr:cNvSpPr/>
      </xdr:nvSpPr>
      <xdr:spPr>
        <a:xfrm>
          <a:off x="7347858" y="1183822"/>
          <a:ext cx="2223425" cy="962025"/>
        </a:xfrm>
        <a:prstGeom prst="roundRect">
          <a:avLst/>
        </a:prstGeom>
        <a:solidFill>
          <a:srgbClr val="FF99CC"/>
        </a:solidFill>
        <a:ln>
          <a:solidFill>
            <a:schemeClr val="bg1"/>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400" b="1"/>
            <a:t>🛒 Average Order Value</a:t>
          </a:r>
        </a:p>
        <a:p>
          <a:pPr algn="ctr"/>
          <a:r>
            <a:rPr lang="en-US" sz="1400" b="1"/>
            <a:t>          </a:t>
          </a:r>
          <a:r>
            <a:rPr lang="en-US" sz="1400" b="1">
              <a:solidFill>
                <a:schemeClr val="accent2">
                  <a:lumMod val="50000"/>
                </a:schemeClr>
              </a:solidFill>
            </a:rPr>
            <a:t>12119.21081</a:t>
          </a:r>
        </a:p>
      </xdr:txBody>
    </xdr:sp>
    <xdr:clientData/>
  </xdr:twoCellAnchor>
  <xdr:twoCellAnchor>
    <xdr:from>
      <xdr:col>15</xdr:col>
      <xdr:colOff>516302</xdr:colOff>
      <xdr:row>6</xdr:row>
      <xdr:rowOff>54429</xdr:rowOff>
    </xdr:from>
    <xdr:to>
      <xdr:col>19</xdr:col>
      <xdr:colOff>353785</xdr:colOff>
      <xdr:row>11</xdr:row>
      <xdr:rowOff>62253</xdr:rowOff>
    </xdr:to>
    <xdr:sp macro="" textlink="">
      <xdr:nvSpPr>
        <xdr:cNvPr id="6" name="Rectangle: Rounded Corners 5">
          <a:extLst>
            <a:ext uri="{FF2B5EF4-FFF2-40B4-BE49-F238E27FC236}">
              <a16:creationId xmlns:a16="http://schemas.microsoft.com/office/drawing/2014/main" id="{87608EC1-A4C9-4115-A63F-A812A235350F}"/>
            </a:ext>
          </a:extLst>
        </xdr:cNvPr>
        <xdr:cNvSpPr/>
      </xdr:nvSpPr>
      <xdr:spPr>
        <a:xfrm>
          <a:off x="9701123" y="1197429"/>
          <a:ext cx="2286769" cy="960324"/>
        </a:xfrm>
        <a:prstGeom prst="roundRect">
          <a:avLst/>
        </a:prstGeom>
        <a:solidFill>
          <a:srgbClr val="FF99CC"/>
        </a:solidFill>
        <a:ln>
          <a:solidFill>
            <a:schemeClr val="bg1"/>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a:t>   </a:t>
          </a:r>
          <a:r>
            <a:rPr lang="en-US" sz="1600"/>
            <a:t>   👥 Total Customers</a:t>
          </a:r>
        </a:p>
        <a:p>
          <a:pPr algn="ctr"/>
          <a:r>
            <a:rPr lang="en-US" sz="1600"/>
            <a:t>                </a:t>
          </a:r>
          <a:r>
            <a:rPr lang="en-US" sz="1600" b="0" i="0" u="none" strike="noStrike">
              <a:solidFill>
                <a:schemeClr val="accent2">
                  <a:lumMod val="50000"/>
                </a:schemeClr>
              </a:solidFill>
              <a:effectLst/>
              <a:latin typeface="+mn-lt"/>
              <a:ea typeface="+mn-ea"/>
              <a:cs typeface="+mn-cs"/>
            </a:rPr>
            <a:t>134407</a:t>
          </a:r>
          <a:r>
            <a:rPr lang="en-US" sz="1600"/>
            <a:t> </a:t>
          </a:r>
        </a:p>
      </xdr:txBody>
    </xdr:sp>
    <xdr:clientData/>
  </xdr:twoCellAnchor>
  <xdr:twoCellAnchor>
    <xdr:from>
      <xdr:col>19</xdr:col>
      <xdr:colOff>522710</xdr:colOff>
      <xdr:row>6</xdr:row>
      <xdr:rowOff>68036</xdr:rowOff>
    </xdr:from>
    <xdr:to>
      <xdr:col>23</xdr:col>
      <xdr:colOff>326571</xdr:colOff>
      <xdr:row>11</xdr:row>
      <xdr:rowOff>54428</xdr:rowOff>
    </xdr:to>
    <xdr:sp macro="" textlink="">
      <xdr:nvSpPr>
        <xdr:cNvPr id="7" name="Rectangle: Rounded Corners 6">
          <a:extLst>
            <a:ext uri="{FF2B5EF4-FFF2-40B4-BE49-F238E27FC236}">
              <a16:creationId xmlns:a16="http://schemas.microsoft.com/office/drawing/2014/main" id="{2D2E227B-3045-44DD-8156-0F52741F012B}"/>
            </a:ext>
          </a:extLst>
        </xdr:cNvPr>
        <xdr:cNvSpPr/>
      </xdr:nvSpPr>
      <xdr:spPr>
        <a:xfrm>
          <a:off x="12156817" y="1211036"/>
          <a:ext cx="2253147" cy="938892"/>
        </a:xfrm>
        <a:prstGeom prst="roundRect">
          <a:avLst/>
        </a:prstGeom>
        <a:solidFill>
          <a:srgbClr val="FF99CC"/>
        </a:solidFill>
        <a:ln>
          <a:solidFill>
            <a:schemeClr val="bg1"/>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l"/>
          <a:r>
            <a:rPr lang="en-US" sz="1100"/>
            <a:t>  </a:t>
          </a:r>
          <a:r>
            <a:rPr lang="en-US" sz="1600"/>
            <a:t>🔄 Repeat Buyer Rate</a:t>
          </a:r>
        </a:p>
        <a:p>
          <a:pPr algn="l"/>
          <a:r>
            <a:rPr lang="en-US" sz="1600"/>
            <a:t>                 </a:t>
          </a:r>
          <a:r>
            <a:rPr lang="en-US" sz="1600" b="0" i="0" u="none" strike="noStrike">
              <a:solidFill>
                <a:schemeClr val="accent2">
                  <a:lumMod val="50000"/>
                </a:schemeClr>
              </a:solidFill>
              <a:effectLst/>
              <a:latin typeface="+mn-lt"/>
              <a:ea typeface="+mn-ea"/>
              <a:cs typeface="+mn-cs"/>
            </a:rPr>
            <a:t>46</a:t>
          </a:r>
          <a:r>
            <a:rPr lang="en-US" sz="1600" b="0" i="0" u="none" strike="noStrike" baseline="0">
              <a:solidFill>
                <a:schemeClr val="accent2">
                  <a:lumMod val="50000"/>
                </a:schemeClr>
              </a:solidFill>
              <a:effectLst/>
              <a:latin typeface="+mn-lt"/>
              <a:ea typeface="+mn-ea"/>
              <a:cs typeface="+mn-cs"/>
            </a:rPr>
            <a:t> </a:t>
          </a:r>
          <a:r>
            <a:rPr lang="en-US" sz="1400" b="0" i="0" u="none" strike="noStrike" baseline="0">
              <a:solidFill>
                <a:schemeClr val="accent2">
                  <a:lumMod val="50000"/>
                </a:schemeClr>
              </a:solidFill>
              <a:effectLst/>
              <a:latin typeface="+mn-lt"/>
              <a:ea typeface="+mn-ea"/>
              <a:cs typeface="+mn-cs"/>
            </a:rPr>
            <a:t>%</a:t>
          </a:r>
          <a:endParaRPr lang="en-US" sz="1600"/>
        </a:p>
      </xdr:txBody>
    </xdr:sp>
    <xdr:clientData/>
  </xdr:twoCellAnchor>
  <xdr:oneCellAnchor>
    <xdr:from>
      <xdr:col>13</xdr:col>
      <xdr:colOff>314325</xdr:colOff>
      <xdr:row>1</xdr:row>
      <xdr:rowOff>19050</xdr:rowOff>
    </xdr:from>
    <xdr:ext cx="184731" cy="264560"/>
    <xdr:sp macro="" textlink="">
      <xdr:nvSpPr>
        <xdr:cNvPr id="8" name="TextBox 7">
          <a:extLst>
            <a:ext uri="{FF2B5EF4-FFF2-40B4-BE49-F238E27FC236}">
              <a16:creationId xmlns:a16="http://schemas.microsoft.com/office/drawing/2014/main" id="{6A2E54B7-F023-4898-A89B-1BA4BEB2858F}"/>
            </a:ext>
          </a:extLst>
        </xdr:cNvPr>
        <xdr:cNvSpPr txBox="1"/>
      </xdr:nvSpPr>
      <xdr:spPr>
        <a:xfrm>
          <a:off x="8239125" y="20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414945</xdr:colOff>
      <xdr:row>12</xdr:row>
      <xdr:rowOff>50633</xdr:rowOff>
    </xdr:from>
    <xdr:to>
      <xdr:col>14</xdr:col>
      <xdr:colOff>464074</xdr:colOff>
      <xdr:row>23</xdr:row>
      <xdr:rowOff>67677</xdr:rowOff>
    </xdr:to>
    <xdr:graphicFrame macro="">
      <xdr:nvGraphicFramePr>
        <xdr:cNvPr id="12" name="Chart 11">
          <a:extLst>
            <a:ext uri="{FF2B5EF4-FFF2-40B4-BE49-F238E27FC236}">
              <a16:creationId xmlns:a16="http://schemas.microsoft.com/office/drawing/2014/main" id="{E0C176A9-E131-4245-B2AF-F118817BB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115305</xdr:colOff>
      <xdr:row>12</xdr:row>
      <xdr:rowOff>15398</xdr:rowOff>
    </xdr:from>
    <xdr:to>
      <xdr:col>22</xdr:col>
      <xdr:colOff>552164</xdr:colOff>
      <xdr:row>23</xdr:row>
      <xdr:rowOff>40463</xdr:rowOff>
    </xdr:to>
    <xdr:graphicFrame macro="">
      <xdr:nvGraphicFramePr>
        <xdr:cNvPr id="13" name="Chart 12">
          <a:extLst>
            <a:ext uri="{FF2B5EF4-FFF2-40B4-BE49-F238E27FC236}">
              <a16:creationId xmlns:a16="http://schemas.microsoft.com/office/drawing/2014/main" id="{067A5DD0-8174-4EAB-A227-3F49DAED7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211269</xdr:colOff>
      <xdr:row>24</xdr:row>
      <xdr:rowOff>8236</xdr:rowOff>
    </xdr:from>
    <xdr:to>
      <xdr:col>29</xdr:col>
      <xdr:colOff>86121</xdr:colOff>
      <xdr:row>38</xdr:row>
      <xdr:rowOff>144757</xdr:rowOff>
    </xdr:to>
    <xdr:graphicFrame macro="">
      <xdr:nvGraphicFramePr>
        <xdr:cNvPr id="14" name="Chart 13">
          <a:extLst>
            <a:ext uri="{FF2B5EF4-FFF2-40B4-BE49-F238E27FC236}">
              <a16:creationId xmlns:a16="http://schemas.microsoft.com/office/drawing/2014/main" id="{3EE62AF2-ED30-402E-8646-8B534D212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563264</xdr:colOff>
      <xdr:row>24</xdr:row>
      <xdr:rowOff>7162</xdr:rowOff>
    </xdr:from>
    <xdr:to>
      <xdr:col>21</xdr:col>
      <xdr:colOff>26141</xdr:colOff>
      <xdr:row>38</xdr:row>
      <xdr:rowOff>147531</xdr:rowOff>
    </xdr:to>
    <xdr:graphicFrame macro="">
      <xdr:nvGraphicFramePr>
        <xdr:cNvPr id="15" name="Chart 14">
          <a:extLst>
            <a:ext uri="{FF2B5EF4-FFF2-40B4-BE49-F238E27FC236}">
              <a16:creationId xmlns:a16="http://schemas.microsoft.com/office/drawing/2014/main" id="{F3D5A676-791D-46DC-A257-FADA7D7A9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517070</xdr:colOff>
      <xdr:row>8</xdr:row>
      <xdr:rowOff>42612</xdr:rowOff>
    </xdr:from>
    <xdr:to>
      <xdr:col>29</xdr:col>
      <xdr:colOff>61231</xdr:colOff>
      <xdr:row>15</xdr:row>
      <xdr:rowOff>108857</xdr:rowOff>
    </xdr:to>
    <mc:AlternateContent xmlns:mc="http://schemas.openxmlformats.org/markup-compatibility/2006" xmlns:a14="http://schemas.microsoft.com/office/drawing/2010/main">
      <mc:Choice Requires="a14">
        <xdr:graphicFrame macro="">
          <xdr:nvGraphicFramePr>
            <xdr:cNvPr id="17" name="customer_segment">
              <a:extLst>
                <a:ext uri="{FF2B5EF4-FFF2-40B4-BE49-F238E27FC236}">
                  <a16:creationId xmlns:a16="http://schemas.microsoft.com/office/drawing/2014/main" id="{458F6B46-A5B3-471B-95DB-4D977D380F7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4600463" y="1566612"/>
              <a:ext cx="3218089" cy="1399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357364</xdr:colOff>
      <xdr:row>24</xdr:row>
      <xdr:rowOff>68036</xdr:rowOff>
    </xdr:from>
    <xdr:to>
      <xdr:col>10</xdr:col>
      <xdr:colOff>420028</xdr:colOff>
      <xdr:row>38</xdr:row>
      <xdr:rowOff>187278</xdr:rowOff>
    </xdr:to>
    <xdr:graphicFrame macro="">
      <xdr:nvGraphicFramePr>
        <xdr:cNvPr id="19" name="Chart 18">
          <a:extLst>
            <a:ext uri="{FF2B5EF4-FFF2-40B4-BE49-F238E27FC236}">
              <a16:creationId xmlns:a16="http://schemas.microsoft.com/office/drawing/2014/main" id="{DEF74D09-5C59-4E6C-96FF-03B9CD0D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237337</xdr:colOff>
      <xdr:row>16</xdr:row>
      <xdr:rowOff>163286</xdr:rowOff>
    </xdr:from>
    <xdr:to>
      <xdr:col>29</xdr:col>
      <xdr:colOff>0</xdr:colOff>
      <xdr:row>23</xdr:row>
      <xdr:rowOff>107425</xdr:rowOff>
    </xdr:to>
    <mc:AlternateContent xmlns:mc="http://schemas.openxmlformats.org/markup-compatibility/2006" xmlns:a14="http://schemas.microsoft.com/office/drawing/2010/main">
      <mc:Choice Requires="a14">
        <xdr:graphicFrame macro="">
          <xdr:nvGraphicFramePr>
            <xdr:cNvPr id="18" name="Repeat_Buyer">
              <a:extLst>
                <a:ext uri="{FF2B5EF4-FFF2-40B4-BE49-F238E27FC236}">
                  <a16:creationId xmlns:a16="http://schemas.microsoft.com/office/drawing/2014/main" id="{AB5A4035-55C4-46F2-A37D-4954F6B2DE18}"/>
                </a:ext>
              </a:extLst>
            </xdr:cNvPr>
            <xdr:cNvGraphicFramePr/>
          </xdr:nvGraphicFramePr>
          <xdr:xfrm>
            <a:off x="0" y="0"/>
            <a:ext cx="0" cy="0"/>
          </xdr:xfrm>
          <a:graphic>
            <a:graphicData uri="http://schemas.microsoft.com/office/drawing/2010/slicer">
              <sle:slicer xmlns:sle="http://schemas.microsoft.com/office/drawing/2010/slicer" name="Repeat_Buyer"/>
            </a:graphicData>
          </a:graphic>
        </xdr:graphicFrame>
      </mc:Choice>
      <mc:Fallback xmlns="">
        <xdr:sp macro="" textlink="">
          <xdr:nvSpPr>
            <xdr:cNvPr id="0" name=""/>
            <xdr:cNvSpPr>
              <a:spLocks noTextEdit="1"/>
            </xdr:cNvSpPr>
          </xdr:nvSpPr>
          <xdr:spPr>
            <a:xfrm>
              <a:off x="14320730" y="3211286"/>
              <a:ext cx="3436591" cy="127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11</xdr:row>
      <xdr:rowOff>163286</xdr:rowOff>
    </xdr:from>
    <xdr:to>
      <xdr:col>4</xdr:col>
      <xdr:colOff>204108</xdr:colOff>
      <xdr:row>38</xdr:row>
      <xdr:rowOff>27214</xdr:rowOff>
    </xdr:to>
    <mc:AlternateContent xmlns:mc="http://schemas.openxmlformats.org/markup-compatibility/2006" xmlns:a14="http://schemas.microsoft.com/office/drawing/2010/main">
      <mc:Choice Requires="a14">
        <xdr:graphicFrame macro="">
          <xdr:nvGraphicFramePr>
            <xdr:cNvPr id="26" name="Category_name">
              <a:extLst>
                <a:ext uri="{FF2B5EF4-FFF2-40B4-BE49-F238E27FC236}">
                  <a16:creationId xmlns:a16="http://schemas.microsoft.com/office/drawing/2014/main" id="{47DF1743-EAED-437C-AC98-9C1AEF7421C2}"/>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54429" y="2258786"/>
              <a:ext cx="2598965" cy="5007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94696</xdr:colOff>
      <xdr:row>9</xdr:row>
      <xdr:rowOff>95250</xdr:rowOff>
    </xdr:to>
    <xdr:pic>
      <xdr:nvPicPr>
        <xdr:cNvPr id="27" name="Picture 26">
          <a:extLst>
            <a:ext uri="{FF2B5EF4-FFF2-40B4-BE49-F238E27FC236}">
              <a16:creationId xmlns:a16="http://schemas.microsoft.com/office/drawing/2014/main" id="{FCDD2FE4-384F-41B7-9F98-FAA9CB933ADF}"/>
            </a:ext>
          </a:extLst>
        </xdr:cNvPr>
        <xdr:cNvPicPr>
          <a:picLocks noChangeAspect="1"/>
        </xdr:cNvPicPr>
      </xdr:nvPicPr>
      <xdr:blipFill>
        <a:blip xmlns:r="http://schemas.openxmlformats.org/officeDocument/2006/relationships" r:embed="rId6"/>
        <a:stretch>
          <a:fillRect/>
        </a:stretch>
      </xdr:blipFill>
      <xdr:spPr>
        <a:xfrm>
          <a:off x="0" y="0"/>
          <a:ext cx="2543982" cy="18097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57150</xdr:colOff>
      <xdr:row>2</xdr:row>
      <xdr:rowOff>142874</xdr:rowOff>
    </xdr:from>
    <xdr:to>
      <xdr:col>20</xdr:col>
      <xdr:colOff>28575</xdr:colOff>
      <xdr:row>20</xdr:row>
      <xdr:rowOff>66675</xdr:rowOff>
    </xdr:to>
    <xdr:graphicFrame macro="">
      <xdr:nvGraphicFramePr>
        <xdr:cNvPr id="2" name="Chart 1">
          <a:extLst>
            <a:ext uri="{FF2B5EF4-FFF2-40B4-BE49-F238E27FC236}">
              <a16:creationId xmlns:a16="http://schemas.microsoft.com/office/drawing/2014/main" id="{EACEEFFB-1D95-4925-84E2-B2B5081CF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228600</xdr:colOff>
      <xdr:row>2</xdr:row>
      <xdr:rowOff>142875</xdr:rowOff>
    </xdr:from>
    <xdr:to>
      <xdr:col>25</xdr:col>
      <xdr:colOff>314325</xdr:colOff>
      <xdr:row>15</xdr:row>
      <xdr:rowOff>123825</xdr:rowOff>
    </xdr:to>
    <xdr:sp macro="" textlink="">
      <xdr:nvSpPr>
        <xdr:cNvPr id="3" name="TextBox 2">
          <a:extLst>
            <a:ext uri="{FF2B5EF4-FFF2-40B4-BE49-F238E27FC236}">
              <a16:creationId xmlns:a16="http://schemas.microsoft.com/office/drawing/2014/main" id="{8C6F9D1B-9EAE-483D-95C1-34781F521545}"/>
            </a:ext>
          </a:extLst>
        </xdr:cNvPr>
        <xdr:cNvSpPr txBox="1"/>
      </xdr:nvSpPr>
      <xdr:spPr>
        <a:xfrm>
          <a:off x="20812125" y="523875"/>
          <a:ext cx="3133725" cy="24574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Interpretation:</a:t>
          </a:r>
        </a:p>
        <a:p>
          <a:r>
            <a:rPr lang="en-US" sz="1400" b="0"/>
            <a:t>Average review scores remain consistently around 4.0 across all product categories, indicating generally high customer satisfaction. However, review volume varies significantly between categories, suggesting that some categories receive substantially higher customer engagement while maintaining similar satisfaction levels</a:t>
          </a:r>
          <a:r>
            <a:rPr lang="en-US" sz="1400"/>
            <a:t>.</a:t>
          </a:r>
          <a:endParaRPr lang="en-US" sz="1400" b="1"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165025</xdr:colOff>
      <xdr:row>0</xdr:row>
      <xdr:rowOff>22952</xdr:rowOff>
    </xdr:from>
    <xdr:to>
      <xdr:col>23</xdr:col>
      <xdr:colOff>355753</xdr:colOff>
      <xdr:row>13</xdr:row>
      <xdr:rowOff>11476</xdr:rowOff>
    </xdr:to>
    <xdr:graphicFrame macro="">
      <xdr:nvGraphicFramePr>
        <xdr:cNvPr id="2" name="Chart 1">
          <a:extLst>
            <a:ext uri="{FF2B5EF4-FFF2-40B4-BE49-F238E27FC236}">
              <a16:creationId xmlns:a16="http://schemas.microsoft.com/office/drawing/2014/main" id="{1E5C60E7-52DC-4BAF-9C46-BABAE8FA3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481988</xdr:colOff>
      <xdr:row>0</xdr:row>
      <xdr:rowOff>22952</xdr:rowOff>
    </xdr:from>
    <xdr:to>
      <xdr:col>29</xdr:col>
      <xdr:colOff>562319</xdr:colOff>
      <xdr:row>13</xdr:row>
      <xdr:rowOff>34427</xdr:rowOff>
    </xdr:to>
    <xdr:sp macro="" textlink="">
      <xdr:nvSpPr>
        <xdr:cNvPr id="4" name="TextBox 3">
          <a:extLst>
            <a:ext uri="{FF2B5EF4-FFF2-40B4-BE49-F238E27FC236}">
              <a16:creationId xmlns:a16="http://schemas.microsoft.com/office/drawing/2014/main" id="{6EF4BF6D-A597-47BD-94AB-5A97878D3F10}"/>
            </a:ext>
          </a:extLst>
        </xdr:cNvPr>
        <xdr:cNvSpPr txBox="1"/>
      </xdr:nvSpPr>
      <xdr:spPr>
        <a:xfrm>
          <a:off x="22791145" y="22952"/>
          <a:ext cx="3729668" cy="25476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t>Interpretation</a:t>
          </a:r>
          <a:r>
            <a:rPr lang="en-US" sz="1400" b="1" u="sng"/>
            <a:t>: </a:t>
          </a:r>
        </a:p>
        <a:p>
          <a:r>
            <a:rPr lang="en-US" sz="1400" b="1">
              <a:latin typeface="+mn-lt"/>
            </a:rPr>
            <a:t>Bed Bath &amp; Table</a:t>
          </a:r>
          <a:r>
            <a:rPr lang="en-US" sz="1400">
              <a:latin typeface="+mn-lt"/>
            </a:rPr>
            <a:t> has the highest customer count, with </a:t>
          </a:r>
          <a:r>
            <a:rPr lang="en-US" sz="1400" b="1">
              <a:latin typeface="+mn-lt"/>
            </a:rPr>
            <a:t>6,980 non-repeat</a:t>
          </a:r>
          <a:r>
            <a:rPr lang="en-US" sz="1400">
              <a:latin typeface="+mn-lt"/>
            </a:rPr>
            <a:t> and </a:t>
          </a:r>
          <a:r>
            <a:rPr lang="en-US" sz="1400" b="1">
              <a:latin typeface="+mn-lt"/>
            </a:rPr>
            <a:t>5,610 repeat buyers</a:t>
          </a:r>
          <a:r>
            <a:rPr lang="en-US" sz="1400">
              <a:latin typeface="+mn-lt"/>
            </a:rPr>
            <a:t>, followed by </a:t>
          </a:r>
          <a:r>
            <a:rPr lang="en-US" sz="1400" b="1">
              <a:latin typeface="+mn-lt"/>
            </a:rPr>
            <a:t>Sports &amp; Leisure</a:t>
          </a:r>
          <a:r>
            <a:rPr lang="en-US" sz="1400">
              <a:latin typeface="+mn-lt"/>
            </a:rPr>
            <a:t> (</a:t>
          </a:r>
          <a:r>
            <a:rPr lang="en-US" sz="1400" b="1">
              <a:latin typeface="+mn-lt"/>
            </a:rPr>
            <a:t>6,567</a:t>
          </a:r>
          <a:r>
            <a:rPr lang="en-US" sz="1400">
              <a:latin typeface="+mn-lt"/>
            </a:rPr>
            <a:t> non-repeat and </a:t>
          </a:r>
          <a:r>
            <a:rPr lang="en-US" sz="1400" b="1">
              <a:latin typeface="+mn-lt"/>
            </a:rPr>
            <a:t>5,542</a:t>
          </a:r>
          <a:r>
            <a:rPr lang="en-US" sz="1400">
              <a:latin typeface="+mn-lt"/>
            </a:rPr>
            <a:t> repeat buyers). Across all categories, </a:t>
          </a:r>
          <a:r>
            <a:rPr lang="en-US" sz="1400" b="1">
              <a:latin typeface="+mn-lt"/>
            </a:rPr>
            <a:t>non-repeat customers slightly outnumber repeat buyers</a:t>
          </a:r>
          <a:r>
            <a:rPr lang="en-US" sz="1400">
              <a:latin typeface="+mn-lt"/>
            </a:rPr>
            <a:t>, indicating opportunities to improve customer retention</a:t>
          </a:r>
          <a:r>
            <a:rPr lang="en-US" sz="1400"/>
            <a:t>.</a:t>
          </a:r>
          <a:endParaRPr lang="en-US" sz="1400" b="1"/>
        </a:p>
      </xdr:txBody>
    </xdr:sp>
    <xdr:clientData/>
  </xdr:twoCellAnchor>
  <xdr:twoCellAnchor>
    <xdr:from>
      <xdr:col>10</xdr:col>
      <xdr:colOff>410836</xdr:colOff>
      <xdr:row>14</xdr:row>
      <xdr:rowOff>68855</xdr:rowOff>
    </xdr:from>
    <xdr:to>
      <xdr:col>18</xdr:col>
      <xdr:colOff>332800</xdr:colOff>
      <xdr:row>28</xdr:row>
      <xdr:rowOff>103512</xdr:rowOff>
    </xdr:to>
    <xdr:graphicFrame macro="">
      <xdr:nvGraphicFramePr>
        <xdr:cNvPr id="5" name="Chart 4">
          <a:extLst>
            <a:ext uri="{FF2B5EF4-FFF2-40B4-BE49-F238E27FC236}">
              <a16:creationId xmlns:a16="http://schemas.microsoft.com/office/drawing/2014/main" id="{00818617-CD3C-45E4-BEE7-C7C395B4F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504939</xdr:colOff>
      <xdr:row>15</xdr:row>
      <xdr:rowOff>68856</xdr:rowOff>
    </xdr:from>
    <xdr:to>
      <xdr:col>29</xdr:col>
      <xdr:colOff>390181</xdr:colOff>
      <xdr:row>29</xdr:row>
      <xdr:rowOff>45904</xdr:rowOff>
    </xdr:to>
    <xdr:sp macro="" textlink="">
      <xdr:nvSpPr>
        <xdr:cNvPr id="6" name="TextBox 5">
          <a:extLst>
            <a:ext uri="{FF2B5EF4-FFF2-40B4-BE49-F238E27FC236}">
              <a16:creationId xmlns:a16="http://schemas.microsoft.com/office/drawing/2014/main" id="{0002E714-38BB-47D7-99B9-9B8ABEE34ADC}"/>
            </a:ext>
          </a:extLst>
        </xdr:cNvPr>
        <xdr:cNvSpPr txBox="1"/>
      </xdr:nvSpPr>
      <xdr:spPr>
        <a:xfrm>
          <a:off x="22814096" y="2995211"/>
          <a:ext cx="3534579" cy="270831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Interpretation:</a:t>
          </a:r>
        </a:p>
        <a:p>
          <a:r>
            <a:rPr lang="en-US" sz="1600" b="1"/>
            <a:t>New customers account for the largest share (50%)</a:t>
          </a:r>
          <a:r>
            <a:rPr lang="en-US" sz="1600"/>
            <a:t> of the customer base, followed by </a:t>
          </a:r>
          <a:r>
            <a:rPr lang="en-US" sz="1600" b="1"/>
            <a:t>Returning customers (35%)</a:t>
          </a:r>
          <a:r>
            <a:rPr lang="en-US" sz="1600"/>
            <a:t> and </a:t>
          </a:r>
          <a:r>
            <a:rPr lang="en-US" sz="1600" b="1"/>
            <a:t>Loyal customers (15%)</a:t>
          </a:r>
          <a:r>
            <a:rPr lang="en-US" sz="1600"/>
            <a:t>. This indicates strong customer acquisition, with an opportunity to convert more new customers into loyal customers through effective retention strategies.</a:t>
          </a:r>
          <a:endParaRPr lang="en-US" sz="1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50131</xdr:colOff>
      <xdr:row>1</xdr:row>
      <xdr:rowOff>50132</xdr:rowOff>
    </xdr:from>
    <xdr:to>
      <xdr:col>18</xdr:col>
      <xdr:colOff>476251</xdr:colOff>
      <xdr:row>14</xdr:row>
      <xdr:rowOff>87730</xdr:rowOff>
    </xdr:to>
    <xdr:graphicFrame macro="">
      <xdr:nvGraphicFramePr>
        <xdr:cNvPr id="2" name="Chart 1">
          <a:extLst>
            <a:ext uri="{FF2B5EF4-FFF2-40B4-BE49-F238E27FC236}">
              <a16:creationId xmlns:a16="http://schemas.microsoft.com/office/drawing/2014/main" id="{8C031C71-B0F2-45E1-89FC-1D529E6AC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823161</xdr:colOff>
      <xdr:row>2</xdr:row>
      <xdr:rowOff>0</xdr:rowOff>
    </xdr:from>
    <xdr:to>
      <xdr:col>21</xdr:col>
      <xdr:colOff>1065296</xdr:colOff>
      <xdr:row>15</xdr:row>
      <xdr:rowOff>37599</xdr:rowOff>
    </xdr:to>
    <xdr:sp macro="" textlink="">
      <xdr:nvSpPr>
        <xdr:cNvPr id="6" name="TextBox 5">
          <a:extLst>
            <a:ext uri="{FF2B5EF4-FFF2-40B4-BE49-F238E27FC236}">
              <a16:creationId xmlns:a16="http://schemas.microsoft.com/office/drawing/2014/main" id="{19B4A1C1-606B-4EB0-84F9-D68AEE0C1083}"/>
            </a:ext>
          </a:extLst>
        </xdr:cNvPr>
        <xdr:cNvSpPr txBox="1"/>
      </xdr:nvSpPr>
      <xdr:spPr>
        <a:xfrm>
          <a:off x="22567733" y="375987"/>
          <a:ext cx="2949241" cy="248151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sng"/>
            <a:t>Interpretation:</a:t>
          </a:r>
        </a:p>
        <a:p>
          <a:r>
            <a:rPr lang="en-US" sz="1400" b="1"/>
            <a:t>Furniture &amp; Decor</a:t>
          </a:r>
          <a:r>
            <a:rPr lang="en-US" sz="1400"/>
            <a:t> generated the highest revenue (</a:t>
          </a:r>
          <a:r>
            <a:rPr lang="en-US" sz="1400" b="1"/>
            <a:t>111.40M</a:t>
          </a:r>
          <a:r>
            <a:rPr lang="en-US" sz="1400"/>
            <a:t>), followed by </a:t>
          </a:r>
          <a:r>
            <a:rPr lang="en-US" sz="1400" b="1"/>
            <a:t>Bed Bath &amp; Table</a:t>
          </a:r>
          <a:r>
            <a:rPr lang="en-US" sz="1400"/>
            <a:t> (</a:t>
          </a:r>
          <a:r>
            <a:rPr lang="en-US" sz="1400" b="1"/>
            <a:t>108.86M</a:t>
          </a:r>
          <a:r>
            <a:rPr lang="en-US" sz="1400"/>
            <a:t>) and </a:t>
          </a:r>
          <a:r>
            <a:rPr lang="en-US" sz="1400" b="1"/>
            <a:t>Sports &amp; Leisure</a:t>
          </a:r>
          <a:r>
            <a:rPr lang="en-US" sz="1400"/>
            <a:t> (</a:t>
          </a:r>
          <a:r>
            <a:rPr lang="en-US" sz="1400" b="1"/>
            <a:t>104.57M</a:t>
          </a:r>
          <a:r>
            <a:rPr lang="en-US" sz="1400"/>
            <a:t>). </a:t>
          </a:r>
          <a:r>
            <a:rPr lang="en-US" sz="1400" b="1"/>
            <a:t>Telephony</a:t>
          </a:r>
          <a:r>
            <a:rPr lang="en-US" sz="1400"/>
            <a:t> recorded the lowest revenue (</a:t>
          </a:r>
          <a:r>
            <a:rPr lang="en-US" sz="1400" b="1"/>
            <a:t>38.48M</a:t>
          </a:r>
          <a:r>
            <a:rPr lang="en-US" sz="1400"/>
            <a:t>), indicating significant variation in revenue across product categories.</a:t>
          </a:r>
        </a:p>
      </xdr:txBody>
    </xdr:sp>
    <xdr:clientData/>
  </xdr:twoCellAnchor>
  <xdr:twoCellAnchor>
    <xdr:from>
      <xdr:col>8</xdr:col>
      <xdr:colOff>258176</xdr:colOff>
      <xdr:row>16</xdr:row>
      <xdr:rowOff>32082</xdr:rowOff>
    </xdr:from>
    <xdr:to>
      <xdr:col>18</xdr:col>
      <xdr:colOff>338389</xdr:colOff>
      <xdr:row>33</xdr:row>
      <xdr:rowOff>12531</xdr:rowOff>
    </xdr:to>
    <xdr:graphicFrame macro="">
      <xdr:nvGraphicFramePr>
        <xdr:cNvPr id="9" name="Chart 8">
          <a:extLst>
            <a:ext uri="{FF2B5EF4-FFF2-40B4-BE49-F238E27FC236}">
              <a16:creationId xmlns:a16="http://schemas.microsoft.com/office/drawing/2014/main" id="{DE5ABA3C-EF10-443B-8073-19106B8E8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789573</xdr:colOff>
      <xdr:row>16</xdr:row>
      <xdr:rowOff>12533</xdr:rowOff>
    </xdr:from>
    <xdr:to>
      <xdr:col>21</xdr:col>
      <xdr:colOff>1052763</xdr:colOff>
      <xdr:row>34</xdr:row>
      <xdr:rowOff>0</xdr:rowOff>
    </xdr:to>
    <xdr:sp macro="" textlink="">
      <xdr:nvSpPr>
        <xdr:cNvPr id="10" name="TextBox 9">
          <a:extLst>
            <a:ext uri="{FF2B5EF4-FFF2-40B4-BE49-F238E27FC236}">
              <a16:creationId xmlns:a16="http://schemas.microsoft.com/office/drawing/2014/main" id="{B4384270-B93A-4B48-B097-0A70324DB414}"/>
            </a:ext>
          </a:extLst>
        </xdr:cNvPr>
        <xdr:cNvSpPr txBox="1"/>
      </xdr:nvSpPr>
      <xdr:spPr>
        <a:xfrm>
          <a:off x="22534145" y="3020428"/>
          <a:ext cx="2970296" cy="3371348"/>
        </a:xfrm>
        <a:prstGeom prst="rect">
          <a:avLst/>
        </a:prstGeom>
        <a:solidFill>
          <a:schemeClr val="accent6">
            <a:lumMod val="20000"/>
            <a:lumOff val="8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u="sng"/>
            <a:t>Interpretation</a:t>
          </a:r>
          <a:r>
            <a:rPr lang="en-US" sz="1600" b="1" u="sng" baseline="0"/>
            <a:t> :</a:t>
          </a:r>
        </a:p>
        <a:p>
          <a:r>
            <a:rPr lang="en-US" sz="1600" b="0"/>
            <a:t>Revenue and Average Order Value vary across product categories. Categories with higher revenue generally show higher average order values, while some categories have high order values but comparatively lower total revenue, indicating lower order volumes. This suggests that both order value and order volume influence overall category revenue</a:t>
          </a:r>
          <a:r>
            <a:rPr lang="en-US" sz="1600" b="1"/>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0.650123148145" createdVersion="6" refreshedVersion="6" minRefreshableVersion="3" recordCount="72" xr:uid="{902BCF07-9A1D-4E1F-B320-C5DA40D0151D}">
  <cacheSource type="worksheet">
    <worksheetSource name="retailtech_sales_summary"/>
  </cacheSource>
  <cacheFields count="4">
    <cacheField name="Category_name" numFmtId="0">
      <sharedItems containsBlank="1" count="72">
        <m/>
        <s v="Agro_Industry_And_Commerce"/>
        <s v="Air_Conditioning"/>
        <s v="Art"/>
        <s v="Arts_And_Craftmanship"/>
        <s v="Audio"/>
        <s v="Auto"/>
        <s v="Baby"/>
        <s v="Bed_Bath_Table"/>
        <s v="Books_General_Interest"/>
        <s v="Books_Imported"/>
        <s v="Books_Technical"/>
        <s v="Cds_Dvds_Musicals"/>
        <s v="Christmas_Supplies"/>
        <s v="Cine_Photo"/>
        <s v="Computers"/>
        <s v="Computers_Accessories"/>
        <s v="Consoles_Games"/>
        <s v="Construction_Tools_Construction"/>
        <s v="Construction_Tools_Lights"/>
        <s v="Construction_Tools_Safety"/>
        <s v="Cool_Stuff"/>
        <s v="Costruction_Tools_Garden"/>
        <s v="Costruction_Tools_Tools"/>
        <s v="Diapers_And_Hygiene"/>
        <s v="Drinks"/>
        <s v="Dvds_Blu_Ray"/>
        <s v="Electronics"/>
        <s v="Fashio_Female_Clothing"/>
        <s v="Fashion_Bags_Accessories"/>
        <s v="Fashion_Childrens_Clothes"/>
        <s v="Fashion_Male_Clothing"/>
        <s v="Fashion_Shoes"/>
        <s v="Fashion_Sport"/>
        <s v="Fashion_Underwear_Beach"/>
        <s v="Fixed_Telephony"/>
        <s v="Flowers"/>
        <s v="Food"/>
        <s v="Food_Drink"/>
        <s v="Furniture_Bedroom"/>
        <s v="Furniture_Decor"/>
        <s v="Furniture_Living_Room"/>
        <s v="Furniture_Mattress_And_Upholstery"/>
        <s v="Garden_Tools"/>
        <s v="Health_Beauty"/>
        <s v="Home_Appliances"/>
        <s v="Home_Appliances_2"/>
        <s v="Home_Comfort_2"/>
        <s v="Home_Confort"/>
        <s v="Home_Construction"/>
        <s v="Housewares"/>
        <s v="Industry_Commerce_And_Business"/>
        <s v="Kitchen_Dining_Laundry_Garden_Furniture"/>
        <s v="La_Cuisine"/>
        <s v="Luggage_Accessories"/>
        <s v="Market_Place"/>
        <s v="Music"/>
        <s v="Musical_Instruments"/>
        <s v="Office_Furniture"/>
        <s v="Party_Supplies"/>
        <s v="Perfumery"/>
        <s v="Pet_Shop"/>
        <s v="Security_And_Services"/>
        <s v="Signaling_And_Security"/>
        <s v="Small_Appliances"/>
        <s v="Small_Appliances_Home_Oven_And_Coffee"/>
        <s v="Sports_Leisure"/>
        <s v="Stationery"/>
        <s v="Tablets_Printing_Image"/>
        <s v="Telephony"/>
        <s v="Toys"/>
        <s v="Watches_Gifts"/>
      </sharedItems>
    </cacheField>
    <cacheField name="Total_Orders" numFmtId="0">
      <sharedItems containsSemiMixedTypes="0" containsString="0" containsNumber="1" containsInteger="1" minValue="3" maxValue="13213"/>
    </cacheField>
    <cacheField name="Total_Revenue" numFmtId="0">
      <sharedItems containsString="0" containsBlank="1" containsNumber="1" minValue="428334.95800000016" maxValue="1114037603.5879874" count="72">
        <m/>
        <n v="28324410.778000023"/>
        <n v="48520972.90999981"/>
        <n v="13150660.755999999"/>
        <n v="5519837.123000036"/>
        <n v="15309562.157999996"/>
        <n v="582614748.64199567"/>
        <n v="336341199.57000065"/>
        <n v="1088635622.5939415"/>
        <n v="58604853.052999385"/>
        <n v="6996074.3379999679"/>
        <n v="39249604.014000297"/>
        <n v="1019209.960000001"/>
        <n v="24714953.862000175"/>
        <n v="12376800.464000039"/>
        <n v="9928353.4410000127"/>
        <n v="575756372.83798873"/>
        <n v="111144416.95500065"/>
        <n v="144518863.85200012"/>
        <n v="29064888.169000063"/>
        <n v="28336907.244000208"/>
        <n v="290511780.75801092"/>
        <n v="32239451.045999862"/>
        <n v="13908117.511999998"/>
        <n v="2454303.3310000016"/>
        <n v="26343777.516000014"/>
        <n v="14166874.84100006"/>
        <n v="198923471.18799824"/>
        <n v="8566203.7889999822"/>
        <n v="355340986.9119882"/>
        <n v="1406116.7349999887"/>
        <n v="39418235.616999514"/>
        <n v="76782652.24599877"/>
        <n v="9943328.2010000106"/>
        <n v="24491584.410000354"/>
        <n v="41348991.041000538"/>
        <n v="3646049.6989999935"/>
        <n v="32147923.281000137"/>
        <n v="45331932.442999773"/>
        <n v="16730352.405000005"/>
        <n v="1114037603.5879874"/>
        <n v="50351922.739000037"/>
        <n v="6356693.8880000003"/>
        <n v="275610174.62999654"/>
        <n v="879417783.62096739"/>
        <n v="168259482.36200052"/>
        <n v="46239201.771000288"/>
        <n v="7459950.9240000127"/>
        <n v="49033986.209000111"/>
        <n v="93756676.727000549"/>
        <n v="836688030.46598494"/>
        <n v="21890371.048000243"/>
        <n v="42212763.804999955"/>
        <n v="3638163.17199999"/>
        <n v="123117692.21199679"/>
        <n v="45965932.159999371"/>
        <n v="9799853.8789999615"/>
        <n v="102323426.87599881"/>
        <n v="135125843.79699785"/>
        <n v="7873593.4459999958"/>
        <n v="303001691.49200803"/>
        <n v="295047869.91600329"/>
        <n v="428334.95800000016"/>
        <n v="26340701.327999704"/>
        <n v="90153913.987999782"/>
        <n v="11997319.857999962"/>
        <n v="1045712435.5229565"/>
        <n v="233511781.98499176"/>
        <n v="4418167.3520000055"/>
        <n v="384821123.98300844"/>
        <n v="513758134.16301233"/>
        <n v="472548384.19499761"/>
      </sharedItems>
    </cacheField>
    <cacheField name="Average_Order_Value" numFmtId="0">
      <sharedItems containsString="0" containsBlank="1" containsNumber="1" minValue="1913.5870727571028" maxValue="90975.011268292845"/>
    </cacheField>
  </cacheFields>
  <extLst>
    <ext xmlns:x14="http://schemas.microsoft.com/office/spreadsheetml/2009/9/main" uri="{725AE2AE-9491-48be-B2B4-4EB974FC3084}">
      <x14:pivotCacheDefinition pivotCacheId="4209623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0.680334143515" createdVersion="6" refreshedVersion="6" minRefreshableVersion="3" recordCount="417" xr:uid="{D232284C-33AC-4184-A4DF-E227A1C18528}">
  <cacheSource type="worksheet">
    <worksheetSource name="retailtech_vw_customer_retention"/>
  </cacheSource>
  <cacheFields count="5">
    <cacheField name="Category_name" numFmtId="0">
      <sharedItems count="71">
        <s v="Agro_Industry_And_Commerce"/>
        <s v="Air_Conditioning"/>
        <s v="Art"/>
        <s v="Arts_And_Craftmanship"/>
        <s v="Audio"/>
        <s v="Auto"/>
        <s v="Baby"/>
        <s v="Bed_Bath_Table"/>
        <s v="Books_General_Interest"/>
        <s v="Books_Imported"/>
        <s v="Books_Technical"/>
        <s v="Cds_Dvds_Musicals"/>
        <s v="Christmas_Supplies"/>
        <s v="Cine_Photo"/>
        <s v="Computers"/>
        <s v="Computers_Accessories"/>
        <s v="Consoles_Games"/>
        <s v="Construction_Tools_Construction"/>
        <s v="Construction_Tools_Lights"/>
        <s v="Construction_Tools_Safety"/>
        <s v="Cool_Stuff"/>
        <s v="Costruction_Tools_Garden"/>
        <s v="Costruction_Tools_Tools"/>
        <s v="Diapers_And_Hygiene"/>
        <s v="Drinks"/>
        <s v="Dvds_Blu_Ray"/>
        <s v="Electronics"/>
        <s v="Fashio_Female_Clothing"/>
        <s v="Fashion_Bags_Accessories"/>
        <s v="Fashion_Childrens_Clothes"/>
        <s v="Fashion_Male_Clothing"/>
        <s v="Fashion_Shoes"/>
        <s v="Fashion_Sport"/>
        <s v="Fashion_Underwear_Beach"/>
        <s v="Fixed_Telephony"/>
        <s v="Flowers"/>
        <s v="Food"/>
        <s v="Food_Drink"/>
        <s v="Furniture_Bedroom"/>
        <s v="Furniture_Decor"/>
        <s v="Furniture_Living_Room"/>
        <s v="Furniture_Mattress_And_Upholstery"/>
        <s v="Garden_Tools"/>
        <s v="Health_Beauty"/>
        <s v="Home_Appliances"/>
        <s v="Home_Appliances_2"/>
        <s v="Home_Comfort_2"/>
        <s v="Home_Confort"/>
        <s v="Home_Construction"/>
        <s v="Housewares"/>
        <s v="Industry_Commerce_And_Business"/>
        <s v="Kitchen_Dining_Laundry_Garden_Furniture"/>
        <s v="La_Cuisine"/>
        <s v="Luggage_Accessories"/>
        <s v="Market_Place"/>
        <s v="Music"/>
        <s v="Musical_Instruments"/>
        <s v="Office_Furniture"/>
        <s v="Party_Supplies"/>
        <s v="Perfumery"/>
        <s v="Pet_Shop"/>
        <s v="Security_And_Services"/>
        <s v="Signaling_And_Security"/>
        <s v="Small_Appliances"/>
        <s v="Small_Appliances_Home_Oven_And_Coffee"/>
        <s v="Sports_Leisure"/>
        <s v="Stationery"/>
        <s v="Tablets_Printing_Image"/>
        <s v="Telephony"/>
        <s v="Toys"/>
        <s v="Watches_Gifts"/>
      </sharedItems>
    </cacheField>
    <cacheField name="customer_segment" numFmtId="0">
      <sharedItems count="3">
        <s v="Loyal"/>
        <s v="New"/>
        <s v="Returning"/>
      </sharedItems>
    </cacheField>
    <cacheField name="Repeat_Buyer" numFmtId="0">
      <sharedItems count="2">
        <s v="No"/>
        <s v="Yes"/>
      </sharedItems>
    </cacheField>
    <cacheField name="Total_Customers" numFmtId="0">
      <sharedItems containsSemiMixedTypes="0" containsString="0" containsNumber="1" containsInteger="1" minValue="1" maxValue="3520"/>
    </cacheField>
    <cacheField name="Average_Purchase_Frequency" numFmtId="0">
      <sharedItems containsSemiMixedTypes="0" containsString="0" containsNumber="1" minValue="1" maxValue="10"/>
    </cacheField>
  </cacheFields>
  <extLst>
    <ext xmlns:x14="http://schemas.microsoft.com/office/spreadsheetml/2009/9/main" uri="{725AE2AE-9491-48be-B2B4-4EB974FC3084}">
      <x14:pivotCacheDefinition pivotCacheId="16260296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0.85585162037" createdVersion="6" refreshedVersion="6" minRefreshableVersion="3" recordCount="142" xr:uid="{600E9D0B-428E-42F0-802F-8169BB8B84C2}">
  <cacheSource type="worksheet">
    <worksheetSource name="retailtech_customer_satisfaction"/>
  </cacheSource>
  <cacheFields count="4">
    <cacheField name="Category_name" numFmtId="0">
      <sharedItems count="71">
        <s v="Sports_Leisure"/>
        <s v="Fashion_Bags_Accessories"/>
        <s v="Bed_Bath_Table"/>
        <s v="Perfumery"/>
        <s v="Furniture_Decor"/>
        <s v="Fashion_Shoes"/>
        <s v="Telephony"/>
        <s v="Toys"/>
        <s v="Cool_Stuff"/>
        <s v="Housewares"/>
        <s v="Health_Beauty"/>
        <s v="Auto"/>
        <s v="Garden_Tools"/>
        <s v="Watches_Gifts"/>
        <s v="Fashion_Underwear_Beach"/>
        <s v="Christmas_Supplies"/>
        <s v="Home_Confort"/>
        <s v="Construction_Tools_Lights"/>
        <s v="Musical_Instruments"/>
        <s v="Baby"/>
        <s v="Pet_Shop"/>
        <s v="Stationery"/>
        <s v="Fashion_Male_Clothing"/>
        <s v="Food"/>
        <s v="Fixed_Telephony"/>
        <s v="Cine_Photo"/>
        <s v="Air_Conditioning"/>
        <s v="Construction_Tools_Construction"/>
        <s v="Art"/>
        <s v="Consoles_Games"/>
        <s v="Construction_Tools_Safety"/>
        <s v="Luggage_Accessories"/>
        <s v="Dvds_Blu_Ray"/>
        <s v="Market_Place"/>
        <s v="Agro_Industry_And_Commerce"/>
        <s v="Books_Imported"/>
        <s v="Computers_Accessories"/>
        <s v="Signaling_And_Security"/>
        <s v="Fashio_Female_Clothing"/>
        <s v="Books_General_Interest"/>
        <s v="Diapers_And_Hygiene"/>
        <s v="Small_Appliances"/>
        <s v="Flowers"/>
        <s v="Music"/>
        <s v="Books_Technical"/>
        <s v="Furniture_Living_Room"/>
        <s v="Food_Drink"/>
        <s v="Industry_Commerce_And_Business"/>
        <s v="Electronics"/>
        <s v="Drinks"/>
        <s v="Costruction_Tools_Garden"/>
        <s v="Home_Appliances"/>
        <s v="Furniture_Bedroom"/>
        <s v="Costruction_Tools_Tools"/>
        <s v="La_Cuisine"/>
        <s v="Office_Furniture"/>
        <s v="Tablets_Printing_Image"/>
        <s v="Fashion_Childrens_Clothes"/>
        <s v="Home_Construction"/>
        <s v="Fashion_Sport"/>
        <s v="Kitchen_Dining_Laundry_Garden_Furniture"/>
        <s v="Home_Appliances_2"/>
        <s v="Security_And_Services"/>
        <s v="Party_Supplies"/>
        <s v="Arts_And_Craftmanship"/>
        <s v="Furniture_Mattress_And_Upholstery"/>
        <s v="Small_Appliances_Home_Oven_And_Coffee"/>
        <s v="Computers"/>
        <s v="Home_Comfort_2"/>
        <s v="Audio"/>
        <s v="Cds_Dvds_Musicals"/>
      </sharedItems>
    </cacheField>
    <cacheField name="Average_Review_Score" numFmtId="0">
      <sharedItems containsSemiMixedTypes="0" containsString="0" containsNumber="1" minValue="3.3346" maxValue="5"/>
    </cacheField>
    <cacheField name="Total_Reviews" numFmtId="0">
      <sharedItems containsSemiMixedTypes="0" containsString="0" containsNumber="1" containsInteger="1" minValue="13" maxValue="136251"/>
    </cacheField>
    <cacheField name="Delivery_Status" numFmtId="0">
      <sharedItems/>
    </cacheField>
  </cacheFields>
  <extLst>
    <ext xmlns:x14="http://schemas.microsoft.com/office/spreadsheetml/2009/9/main" uri="{725AE2AE-9491-48be-B2B4-4EB974FC3084}">
      <x14:pivotCacheDefinition pivotCacheId="1542624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n v="3"/>
    <x v="0"/>
    <m/>
  </r>
  <r>
    <x v="1"/>
    <n v="393"/>
    <x v="1"/>
    <n v="5529.9513428348346"/>
  </r>
  <r>
    <x v="2"/>
    <n v="627"/>
    <x v="2"/>
    <n v="5978.4343161655752"/>
  </r>
  <r>
    <x v="3"/>
    <n v="210"/>
    <x v="3"/>
    <n v="4960.6415526216515"/>
  </r>
  <r>
    <x v="4"/>
    <n v="59"/>
    <x v="4"/>
    <n v="8931.7752799353329"/>
  </r>
  <r>
    <x v="5"/>
    <n v="40"/>
    <x v="5"/>
    <n v="33137.580428571418"/>
  </r>
  <r>
    <x v="6"/>
    <n v="7074"/>
    <x v="6"/>
    <n v="6234.2408954351413"/>
  </r>
  <r>
    <x v="7"/>
    <n v="4439"/>
    <x v="7"/>
    <n v="5801.8871430543004"/>
  </r>
  <r>
    <x v="8"/>
    <n v="13213"/>
    <x v="8"/>
    <n v="5928.5160820246556"/>
  </r>
  <r>
    <x v="9"/>
    <n v="1937"/>
    <x v="9"/>
    <n v="2284.61145536408"/>
  </r>
  <r>
    <x v="10"/>
    <n v="282"/>
    <x v="10"/>
    <n v="1913.5870727571028"/>
  </r>
  <r>
    <x v="11"/>
    <n v="1173"/>
    <x v="11"/>
    <n v="2624.3383266916485"/>
  </r>
  <r>
    <x v="12"/>
    <n v="5"/>
    <x v="12"/>
    <n v="16986.832666666684"/>
  </r>
  <r>
    <x v="13"/>
    <n v="323"/>
    <x v="13"/>
    <n v="6143.4138359433691"/>
  </r>
  <r>
    <x v="14"/>
    <n v="152"/>
    <x v="14"/>
    <n v="6815.4187577092725"/>
  </r>
  <r>
    <x v="15"/>
    <n v="38"/>
    <x v="15"/>
    <n v="22771.452846330303"/>
  </r>
  <r>
    <x v="16"/>
    <n v="2090"/>
    <x v="16"/>
    <n v="21599.503782937754"/>
  </r>
  <r>
    <x v="17"/>
    <n v="390"/>
    <x v="17"/>
    <n v="23044.664514824934"/>
  </r>
  <r>
    <x v="18"/>
    <n v="1898"/>
    <x v="18"/>
    <n v="5820.8016695666229"/>
  </r>
  <r>
    <x v="19"/>
    <n v="406"/>
    <x v="19"/>
    <n v="5684.5077584588425"/>
  </r>
  <r>
    <x v="20"/>
    <n v="421"/>
    <x v="20"/>
    <n v="5174.7456617969701"/>
  </r>
  <r>
    <x v="21"/>
    <n v="3682"/>
    <x v="21"/>
    <n v="6119.2581518275074"/>
  </r>
  <r>
    <x v="22"/>
    <n v="437"/>
    <x v="22"/>
    <n v="5707.1076378119778"/>
  </r>
  <r>
    <x v="23"/>
    <n v="162"/>
    <x v="23"/>
    <n v="7206.2785036269424"/>
  </r>
  <r>
    <x v="24"/>
    <n v="42"/>
    <x v="24"/>
    <n v="4765.637535922333"/>
  </r>
  <r>
    <x v="25"/>
    <n v="347"/>
    <x v="25"/>
    <n v="5938.6333444544662"/>
  </r>
  <r>
    <x v="26"/>
    <n v="253"/>
    <x v="26"/>
    <n v="4497.4205844444632"/>
  </r>
  <r>
    <x v="27"/>
    <n v="638"/>
    <x v="27"/>
    <n v="24452.793016348893"/>
  </r>
  <r>
    <x v="28"/>
    <n v="152"/>
    <x v="28"/>
    <n v="4374.9763988763953"/>
  </r>
  <r>
    <x v="29"/>
    <n v="7181"/>
    <x v="29"/>
    <n v="3528.2534222194572"/>
  </r>
  <r>
    <x v="30"/>
    <n v="56"/>
    <x v="30"/>
    <n v="1955.6560987482458"/>
  </r>
  <r>
    <x v="31"/>
    <n v="875"/>
    <x v="31"/>
    <n v="3561.781477997607"/>
  </r>
  <r>
    <x v="32"/>
    <n v="1677"/>
    <x v="32"/>
    <n v="3491.5489175571265"/>
  </r>
  <r>
    <x v="33"/>
    <n v="187"/>
    <x v="33"/>
    <n v="4215.0607041119165"/>
  </r>
  <r>
    <x v="34"/>
    <n v="508"/>
    <x v="34"/>
    <n v="3635.384356538571"/>
  </r>
  <r>
    <x v="35"/>
    <n v="554"/>
    <x v="35"/>
    <n v="5850.1685117431434"/>
  </r>
  <r>
    <x v="36"/>
    <n v="75"/>
    <x v="36"/>
    <n v="4304.6631629279736"/>
  </r>
  <r>
    <x v="37"/>
    <n v="420"/>
    <x v="37"/>
    <n v="5996.6281068830694"/>
  </r>
  <r>
    <x v="38"/>
    <n v="522"/>
    <x v="38"/>
    <n v="6747.8315634116962"/>
  </r>
  <r>
    <x v="39"/>
    <n v="39"/>
    <x v="39"/>
    <n v="33867.110131578956"/>
  </r>
  <r>
    <x v="40"/>
    <n v="2906"/>
    <x v="40"/>
    <n v="29671.272667873738"/>
  </r>
  <r>
    <x v="41"/>
    <n v="108"/>
    <x v="41"/>
    <n v="37353.058411721096"/>
  </r>
  <r>
    <x v="42"/>
    <n v="13"/>
    <x v="42"/>
    <n v="33107.780666666666"/>
  </r>
  <r>
    <x v="43"/>
    <n v="3363"/>
    <x v="43"/>
    <n v="6258.7468123807012"/>
  </r>
  <r>
    <x v="44"/>
    <n v="10725"/>
    <x v="44"/>
    <n v="5998.1842363005399"/>
  </r>
  <r>
    <x v="45"/>
    <n v="392"/>
    <x v="45"/>
    <n v="33266.010747726476"/>
  </r>
  <r>
    <x v="46"/>
    <n v="137"/>
    <x v="46"/>
    <n v="26332.119459567362"/>
  </r>
  <r>
    <x v="47"/>
    <n v="5"/>
    <x v="47"/>
    <n v="90975.011268292845"/>
  </r>
  <r>
    <x v="48"/>
    <n v="105"/>
    <x v="48"/>
    <n v="37805.694841172022"/>
  </r>
  <r>
    <x v="49"/>
    <n v="224"/>
    <x v="49"/>
    <n v="32599.678973226895"/>
  </r>
  <r>
    <x v="50"/>
    <n v="10503"/>
    <x v="50"/>
    <n v="5919.0550774007634"/>
  </r>
  <r>
    <x v="51"/>
    <n v="354"/>
    <x v="51"/>
    <n v="4828.0483123070671"/>
  </r>
  <r>
    <x v="52"/>
    <n v="83"/>
    <x v="52"/>
    <n v="33689.356588188311"/>
  </r>
  <r>
    <x v="53"/>
    <n v="46"/>
    <x v="53"/>
    <n v="6338.2633658536415"/>
  </r>
  <r>
    <x v="54"/>
    <n v="1652"/>
    <x v="54"/>
    <n v="5831.0927447189915"/>
  </r>
  <r>
    <x v="55"/>
    <n v="542"/>
    <x v="55"/>
    <n v="6359.4261427779984"/>
  </r>
  <r>
    <x v="56"/>
    <n v="124"/>
    <x v="56"/>
    <n v="6375.9621854261295"/>
  </r>
  <r>
    <x v="57"/>
    <n v="1324"/>
    <x v="57"/>
    <n v="5846.0507842083534"/>
  </r>
  <r>
    <x v="58"/>
    <n v="474"/>
    <x v="58"/>
    <n v="22611.419644745289"/>
  </r>
  <r>
    <x v="59"/>
    <n v="97"/>
    <x v="59"/>
    <n v="6961.6210839964597"/>
  </r>
  <r>
    <x v="60"/>
    <n v="7594"/>
    <x v="60"/>
    <n v="2889.5831727256154"/>
  </r>
  <r>
    <x v="61"/>
    <n v="4737"/>
    <x v="61"/>
    <n v="4806.2009466843128"/>
  </r>
  <r>
    <x v="62"/>
    <n v="6"/>
    <x v="62"/>
    <n v="8398.7246666666706"/>
  </r>
  <r>
    <x v="63"/>
    <n v="328"/>
    <x v="63"/>
    <n v="6197.8120771764006"/>
  </r>
  <r>
    <x v="64"/>
    <n v="1128"/>
    <x v="64"/>
    <n v="6251.1381214810554"/>
  </r>
  <r>
    <x v="65"/>
    <n v="37"/>
    <x v="65"/>
    <n v="24139.476575452638"/>
  </r>
  <r>
    <x v="66"/>
    <n v="12695"/>
    <x v="66"/>
    <n v="5961.8045149026611"/>
  </r>
  <r>
    <x v="67"/>
    <n v="7466"/>
    <x v="67"/>
    <n v="2259.7987282377535"/>
  </r>
  <r>
    <x v="68"/>
    <n v="59"/>
    <x v="68"/>
    <n v="6144.8780973574485"/>
  </r>
  <r>
    <x v="69"/>
    <n v="4980"/>
    <x v="69"/>
    <n v="6037.5462672661279"/>
  </r>
  <r>
    <x v="70"/>
    <n v="6760"/>
    <x v="70"/>
    <n v="5782.43893124226"/>
  </r>
  <r>
    <x v="71"/>
    <n v="6070"/>
    <x v="71"/>
    <n v="5883.6145250634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
  <r>
    <x v="0"/>
    <x v="0"/>
    <x v="0"/>
    <n v="28"/>
    <n v="1.9922"/>
  </r>
  <r>
    <x v="0"/>
    <x v="0"/>
    <x v="1"/>
    <n v="40"/>
    <n v="4.0522"/>
  </r>
  <r>
    <x v="0"/>
    <x v="1"/>
    <x v="0"/>
    <n v="90"/>
    <n v="2.4702999999999999"/>
  </r>
  <r>
    <x v="0"/>
    <x v="1"/>
    <x v="1"/>
    <n v="93"/>
    <n v="3.9769000000000001"/>
  </r>
  <r>
    <x v="0"/>
    <x v="2"/>
    <x v="0"/>
    <n v="78"/>
    <n v="2.2309999999999999"/>
  </r>
  <r>
    <x v="0"/>
    <x v="2"/>
    <x v="1"/>
    <n v="64"/>
    <n v="4.1871999999999998"/>
  </r>
  <r>
    <x v="1"/>
    <x v="0"/>
    <x v="0"/>
    <n v="54"/>
    <n v="3.2012"/>
  </r>
  <r>
    <x v="1"/>
    <x v="0"/>
    <x v="1"/>
    <n v="41"/>
    <n v="3.8769999999999998"/>
  </r>
  <r>
    <x v="1"/>
    <x v="1"/>
    <x v="0"/>
    <n v="169"/>
    <n v="2.2755000000000001"/>
  </r>
  <r>
    <x v="1"/>
    <x v="1"/>
    <x v="1"/>
    <n v="149"/>
    <n v="3.6398999999999999"/>
  </r>
  <r>
    <x v="1"/>
    <x v="2"/>
    <x v="0"/>
    <n v="101"/>
    <n v="2.4157999999999999"/>
  </r>
  <r>
    <x v="1"/>
    <x v="2"/>
    <x v="1"/>
    <n v="112"/>
    <n v="4.2934999999999999"/>
  </r>
  <r>
    <x v="2"/>
    <x v="0"/>
    <x v="0"/>
    <n v="12"/>
    <n v="1.4333"/>
  </r>
  <r>
    <x v="2"/>
    <x v="0"/>
    <x v="1"/>
    <n v="25"/>
    <n v="4.4946999999999999"/>
  </r>
  <r>
    <x v="2"/>
    <x v="1"/>
    <x v="0"/>
    <n v="53"/>
    <n v="2.2951000000000001"/>
  </r>
  <r>
    <x v="2"/>
    <x v="1"/>
    <x v="1"/>
    <n v="49"/>
    <n v="4.0712000000000002"/>
  </r>
  <r>
    <x v="2"/>
    <x v="2"/>
    <x v="0"/>
    <n v="37"/>
    <n v="2.0114999999999998"/>
  </r>
  <r>
    <x v="2"/>
    <x v="2"/>
    <x v="1"/>
    <n v="34"/>
    <n v="4.2081999999999997"/>
  </r>
  <r>
    <x v="3"/>
    <x v="0"/>
    <x v="0"/>
    <n v="3"/>
    <n v="1"/>
  </r>
  <r>
    <x v="3"/>
    <x v="0"/>
    <x v="1"/>
    <n v="6"/>
    <n v="2.3134000000000001"/>
  </r>
  <r>
    <x v="3"/>
    <x v="1"/>
    <x v="0"/>
    <n v="13"/>
    <n v="1.1829000000000001"/>
  </r>
  <r>
    <x v="3"/>
    <x v="1"/>
    <x v="1"/>
    <n v="9"/>
    <n v="4.6959999999999997"/>
  </r>
  <r>
    <x v="3"/>
    <x v="2"/>
    <x v="0"/>
    <n v="13"/>
    <n v="1.5667"/>
  </r>
  <r>
    <x v="3"/>
    <x v="2"/>
    <x v="1"/>
    <n v="15"/>
    <n v="3.9809999999999999"/>
  </r>
  <r>
    <x v="4"/>
    <x v="0"/>
    <x v="0"/>
    <n v="5"/>
    <n v="3.7951999999999999"/>
  </r>
  <r>
    <x v="4"/>
    <x v="0"/>
    <x v="1"/>
    <n v="1"/>
    <n v="2"/>
  </r>
  <r>
    <x v="4"/>
    <x v="1"/>
    <x v="0"/>
    <n v="9"/>
    <n v="2.1918000000000002"/>
  </r>
  <r>
    <x v="4"/>
    <x v="1"/>
    <x v="1"/>
    <n v="9"/>
    <n v="2.8283"/>
  </r>
  <r>
    <x v="4"/>
    <x v="2"/>
    <x v="0"/>
    <n v="7"/>
    <n v="2.6667000000000001"/>
  </r>
  <r>
    <x v="4"/>
    <x v="2"/>
    <x v="1"/>
    <n v="9"/>
    <n v="3.3965999999999998"/>
  </r>
  <r>
    <x v="5"/>
    <x v="0"/>
    <x v="0"/>
    <n v="551"/>
    <n v="2.3062999999999998"/>
  </r>
  <r>
    <x v="5"/>
    <x v="0"/>
    <x v="1"/>
    <n v="499"/>
    <n v="3.9279000000000002"/>
  </r>
  <r>
    <x v="5"/>
    <x v="1"/>
    <x v="0"/>
    <n v="1811"/>
    <n v="2.3740000000000001"/>
  </r>
  <r>
    <x v="5"/>
    <x v="1"/>
    <x v="1"/>
    <n v="1590"/>
    <n v="4.1738"/>
  </r>
  <r>
    <x v="5"/>
    <x v="2"/>
    <x v="0"/>
    <n v="1315"/>
    <n v="2.2778"/>
  </r>
  <r>
    <x v="5"/>
    <x v="2"/>
    <x v="1"/>
    <n v="1134"/>
    <n v="4.0156999999999998"/>
  </r>
  <r>
    <x v="6"/>
    <x v="0"/>
    <x v="0"/>
    <n v="372"/>
    <n v="2.4752000000000001"/>
  </r>
  <r>
    <x v="6"/>
    <x v="0"/>
    <x v="1"/>
    <n v="296"/>
    <n v="4.3834999999999997"/>
  </r>
  <r>
    <x v="6"/>
    <x v="1"/>
    <x v="0"/>
    <n v="1122"/>
    <n v="2.3239999999999998"/>
  </r>
  <r>
    <x v="6"/>
    <x v="1"/>
    <x v="1"/>
    <n v="1001"/>
    <n v="4.0255999999999998"/>
  </r>
  <r>
    <x v="6"/>
    <x v="2"/>
    <x v="0"/>
    <n v="805"/>
    <n v="2.2884000000000002"/>
  </r>
  <r>
    <x v="6"/>
    <x v="2"/>
    <x v="1"/>
    <n v="767"/>
    <n v="3.9683999999999999"/>
  </r>
  <r>
    <x v="7"/>
    <x v="0"/>
    <x v="0"/>
    <n v="1027"/>
    <n v="2.2938999999999998"/>
  </r>
  <r>
    <x v="7"/>
    <x v="0"/>
    <x v="1"/>
    <n v="782"/>
    <n v="4.1224999999999996"/>
  </r>
  <r>
    <x v="7"/>
    <x v="1"/>
    <x v="0"/>
    <n v="3520"/>
    <n v="2.4159000000000002"/>
  </r>
  <r>
    <x v="7"/>
    <x v="1"/>
    <x v="1"/>
    <n v="2826"/>
    <n v="4.0412999999999997"/>
  </r>
  <r>
    <x v="7"/>
    <x v="2"/>
    <x v="0"/>
    <n v="2433"/>
    <n v="2.3492000000000002"/>
  </r>
  <r>
    <x v="7"/>
    <x v="2"/>
    <x v="1"/>
    <n v="2002"/>
    <n v="4.2126000000000001"/>
  </r>
  <r>
    <x v="8"/>
    <x v="0"/>
    <x v="0"/>
    <n v="156"/>
    <n v="2.3472"/>
  </r>
  <r>
    <x v="8"/>
    <x v="0"/>
    <x v="1"/>
    <n v="129"/>
    <n v="3.9213"/>
  </r>
  <r>
    <x v="8"/>
    <x v="1"/>
    <x v="0"/>
    <n v="518"/>
    <n v="2.3073000000000001"/>
  </r>
  <r>
    <x v="8"/>
    <x v="1"/>
    <x v="1"/>
    <n v="450"/>
    <n v="4.0110000000000001"/>
  </r>
  <r>
    <x v="8"/>
    <x v="2"/>
    <x v="0"/>
    <n v="351"/>
    <n v="2.2888000000000002"/>
  </r>
  <r>
    <x v="8"/>
    <x v="2"/>
    <x v="1"/>
    <n v="317"/>
    <n v="4.3624999999999998"/>
  </r>
  <r>
    <x v="9"/>
    <x v="0"/>
    <x v="0"/>
    <n v="21"/>
    <n v="2.9356"/>
  </r>
  <r>
    <x v="9"/>
    <x v="0"/>
    <x v="1"/>
    <n v="16"/>
    <n v="3.2444000000000002"/>
  </r>
  <r>
    <x v="9"/>
    <x v="1"/>
    <x v="0"/>
    <n v="70"/>
    <n v="2.5861999999999998"/>
  </r>
  <r>
    <x v="9"/>
    <x v="1"/>
    <x v="1"/>
    <n v="76"/>
    <n v="3.6688999999999998"/>
  </r>
  <r>
    <x v="9"/>
    <x v="2"/>
    <x v="0"/>
    <n v="51"/>
    <n v="2.2336999999999998"/>
  </r>
  <r>
    <x v="9"/>
    <x v="2"/>
    <x v="1"/>
    <n v="48"/>
    <n v="4.8226000000000004"/>
  </r>
  <r>
    <x v="10"/>
    <x v="0"/>
    <x v="0"/>
    <n v="82"/>
    <n v="1.9023000000000001"/>
  </r>
  <r>
    <x v="10"/>
    <x v="0"/>
    <x v="1"/>
    <n v="79"/>
    <n v="4.1547999999999998"/>
  </r>
  <r>
    <x v="10"/>
    <x v="1"/>
    <x v="0"/>
    <n v="304"/>
    <n v="2.4741"/>
  </r>
  <r>
    <x v="10"/>
    <x v="1"/>
    <x v="1"/>
    <n v="298"/>
    <n v="3.9906000000000001"/>
  </r>
  <r>
    <x v="10"/>
    <x v="2"/>
    <x v="0"/>
    <n v="223"/>
    <n v="2.2595999999999998"/>
  </r>
  <r>
    <x v="10"/>
    <x v="2"/>
    <x v="1"/>
    <n v="184"/>
    <n v="4.6612"/>
  </r>
  <r>
    <x v="11"/>
    <x v="1"/>
    <x v="0"/>
    <n v="2"/>
    <n v="1"/>
  </r>
  <r>
    <x v="11"/>
    <x v="1"/>
    <x v="1"/>
    <n v="2"/>
    <n v="2"/>
  </r>
  <r>
    <x v="11"/>
    <x v="2"/>
    <x v="1"/>
    <n v="1"/>
    <n v="4"/>
  </r>
  <r>
    <x v="12"/>
    <x v="0"/>
    <x v="0"/>
    <n v="23"/>
    <n v="1.9271"/>
  </r>
  <r>
    <x v="12"/>
    <x v="0"/>
    <x v="1"/>
    <n v="27"/>
    <n v="4.3673000000000002"/>
  </r>
  <r>
    <x v="12"/>
    <x v="1"/>
    <x v="0"/>
    <n v="81"/>
    <n v="2.3599000000000001"/>
  </r>
  <r>
    <x v="12"/>
    <x v="1"/>
    <x v="1"/>
    <n v="79"/>
    <n v="3.7949000000000002"/>
  </r>
  <r>
    <x v="12"/>
    <x v="2"/>
    <x v="0"/>
    <n v="52"/>
    <n v="2.2625000000000002"/>
  </r>
  <r>
    <x v="12"/>
    <x v="2"/>
    <x v="1"/>
    <n v="58"/>
    <n v="4.7976999999999999"/>
  </r>
  <r>
    <x v="13"/>
    <x v="0"/>
    <x v="0"/>
    <n v="16"/>
    <n v="1.9718"/>
  </r>
  <r>
    <x v="13"/>
    <x v="0"/>
    <x v="1"/>
    <n v="14"/>
    <n v="2.8624999999999998"/>
  </r>
  <r>
    <x v="13"/>
    <x v="1"/>
    <x v="0"/>
    <n v="39"/>
    <n v="2.2551999999999999"/>
  </r>
  <r>
    <x v="13"/>
    <x v="1"/>
    <x v="1"/>
    <n v="31"/>
    <n v="4.4226999999999999"/>
  </r>
  <r>
    <x v="13"/>
    <x v="2"/>
    <x v="0"/>
    <n v="26"/>
    <n v="1.5062"/>
  </r>
  <r>
    <x v="13"/>
    <x v="2"/>
    <x v="1"/>
    <n v="26"/>
    <n v="4.3978000000000002"/>
  </r>
  <r>
    <x v="14"/>
    <x v="0"/>
    <x v="0"/>
    <n v="3"/>
    <n v="1"/>
  </r>
  <r>
    <x v="14"/>
    <x v="0"/>
    <x v="1"/>
    <n v="6"/>
    <n v="3.1017000000000001"/>
  </r>
  <r>
    <x v="14"/>
    <x v="1"/>
    <x v="0"/>
    <n v="8"/>
    <n v="1.7250000000000001"/>
  </r>
  <r>
    <x v="14"/>
    <x v="1"/>
    <x v="1"/>
    <n v="10"/>
    <n v="3.5638000000000001"/>
  </r>
  <r>
    <x v="14"/>
    <x v="2"/>
    <x v="0"/>
    <n v="6"/>
    <n v="1.9523999999999999"/>
  </r>
  <r>
    <x v="14"/>
    <x v="2"/>
    <x v="1"/>
    <n v="5"/>
    <n v="2.3370000000000002"/>
  </r>
  <r>
    <x v="15"/>
    <x v="0"/>
    <x v="0"/>
    <n v="161"/>
    <n v="2.0398000000000001"/>
  </r>
  <r>
    <x v="15"/>
    <x v="0"/>
    <x v="1"/>
    <n v="132"/>
    <n v="4.2694000000000001"/>
  </r>
  <r>
    <x v="15"/>
    <x v="1"/>
    <x v="0"/>
    <n v="557"/>
    <n v="2.3006000000000002"/>
  </r>
  <r>
    <x v="15"/>
    <x v="1"/>
    <x v="1"/>
    <n v="486"/>
    <n v="4.1500000000000004"/>
  </r>
  <r>
    <x v="15"/>
    <x v="2"/>
    <x v="0"/>
    <n v="364"/>
    <n v="2.2515999999999998"/>
  </r>
  <r>
    <x v="15"/>
    <x v="2"/>
    <x v="1"/>
    <n v="371"/>
    <n v="3.9882"/>
  </r>
  <r>
    <x v="16"/>
    <x v="0"/>
    <x v="0"/>
    <n v="28"/>
    <n v="2.0941000000000001"/>
  </r>
  <r>
    <x v="16"/>
    <x v="0"/>
    <x v="1"/>
    <n v="39"/>
    <n v="3.9758"/>
  </r>
  <r>
    <x v="16"/>
    <x v="1"/>
    <x v="0"/>
    <n v="105"/>
    <n v="2.3380999999999998"/>
  </r>
  <r>
    <x v="16"/>
    <x v="1"/>
    <x v="1"/>
    <n v="87"/>
    <n v="3.9180999999999999"/>
  </r>
  <r>
    <x v="16"/>
    <x v="2"/>
    <x v="0"/>
    <n v="65"/>
    <n v="2.7118000000000002"/>
  </r>
  <r>
    <x v="16"/>
    <x v="2"/>
    <x v="1"/>
    <n v="65"/>
    <n v="3.7048999999999999"/>
  </r>
  <r>
    <x v="17"/>
    <x v="0"/>
    <x v="0"/>
    <n v="148"/>
    <n v="2.3378999999999999"/>
  </r>
  <r>
    <x v="17"/>
    <x v="0"/>
    <x v="1"/>
    <n v="122"/>
    <n v="3.6898"/>
  </r>
  <r>
    <x v="17"/>
    <x v="1"/>
    <x v="0"/>
    <n v="477"/>
    <n v="2.3296999999999999"/>
  </r>
  <r>
    <x v="17"/>
    <x v="1"/>
    <x v="1"/>
    <n v="479"/>
    <n v="4.2133000000000003"/>
  </r>
  <r>
    <x v="17"/>
    <x v="2"/>
    <x v="0"/>
    <n v="346"/>
    <n v="2.4447000000000001"/>
  </r>
  <r>
    <x v="17"/>
    <x v="2"/>
    <x v="1"/>
    <n v="313"/>
    <n v="3.9609000000000001"/>
  </r>
  <r>
    <x v="18"/>
    <x v="0"/>
    <x v="0"/>
    <n v="28"/>
    <n v="2.0676000000000001"/>
  </r>
  <r>
    <x v="18"/>
    <x v="0"/>
    <x v="1"/>
    <n v="25"/>
    <n v="4.8348000000000004"/>
  </r>
  <r>
    <x v="18"/>
    <x v="1"/>
    <x v="0"/>
    <n v="109"/>
    <n v="2.6638000000000002"/>
  </r>
  <r>
    <x v="18"/>
    <x v="1"/>
    <x v="1"/>
    <n v="95"/>
    <n v="4.3307000000000002"/>
  </r>
  <r>
    <x v="18"/>
    <x v="2"/>
    <x v="0"/>
    <n v="69"/>
    <n v="2.2345999999999999"/>
  </r>
  <r>
    <x v="18"/>
    <x v="2"/>
    <x v="1"/>
    <n v="80"/>
    <n v="4.0731999999999999"/>
  </r>
  <r>
    <x v="19"/>
    <x v="0"/>
    <x v="0"/>
    <n v="39"/>
    <n v="1.8867"/>
  </r>
  <r>
    <x v="19"/>
    <x v="0"/>
    <x v="1"/>
    <n v="21"/>
    <n v="3.1520999999999999"/>
  </r>
  <r>
    <x v="19"/>
    <x v="1"/>
    <x v="0"/>
    <n v="108"/>
    <n v="2.3871000000000002"/>
  </r>
  <r>
    <x v="19"/>
    <x v="1"/>
    <x v="1"/>
    <n v="104"/>
    <n v="4.1101999999999999"/>
  </r>
  <r>
    <x v="19"/>
    <x v="2"/>
    <x v="0"/>
    <n v="87"/>
    <n v="2.2551999999999999"/>
  </r>
  <r>
    <x v="19"/>
    <x v="2"/>
    <x v="1"/>
    <n v="62"/>
    <n v="4.57"/>
  </r>
  <r>
    <x v="20"/>
    <x v="0"/>
    <x v="0"/>
    <n v="265"/>
    <n v="2.4399000000000002"/>
  </r>
  <r>
    <x v="20"/>
    <x v="0"/>
    <x v="1"/>
    <n v="284"/>
    <n v="3.9939"/>
  </r>
  <r>
    <x v="20"/>
    <x v="1"/>
    <x v="0"/>
    <n v="942"/>
    <n v="2.2288000000000001"/>
  </r>
  <r>
    <x v="20"/>
    <x v="1"/>
    <x v="1"/>
    <n v="863"/>
    <n v="4.2233000000000001"/>
  </r>
  <r>
    <x v="20"/>
    <x v="2"/>
    <x v="0"/>
    <n v="656"/>
    <n v="2.3165"/>
  </r>
  <r>
    <x v="20"/>
    <x v="2"/>
    <x v="1"/>
    <n v="618"/>
    <n v="4.0457000000000001"/>
  </r>
  <r>
    <x v="21"/>
    <x v="0"/>
    <x v="0"/>
    <n v="39"/>
    <n v="2.0648"/>
  </r>
  <r>
    <x v="21"/>
    <x v="0"/>
    <x v="1"/>
    <n v="28"/>
    <n v="3.5842999999999998"/>
  </r>
  <r>
    <x v="21"/>
    <x v="1"/>
    <x v="0"/>
    <n v="98"/>
    <n v="2.2616000000000001"/>
  </r>
  <r>
    <x v="21"/>
    <x v="1"/>
    <x v="1"/>
    <n v="115"/>
    <n v="4.3638000000000003"/>
  </r>
  <r>
    <x v="21"/>
    <x v="2"/>
    <x v="0"/>
    <n v="84"/>
    <n v="2.2595000000000001"/>
  </r>
  <r>
    <x v="21"/>
    <x v="2"/>
    <x v="1"/>
    <n v="71"/>
    <n v="4.0670999999999999"/>
  </r>
  <r>
    <x v="22"/>
    <x v="0"/>
    <x v="0"/>
    <n v="14"/>
    <n v="2.2061000000000002"/>
  </r>
  <r>
    <x v="22"/>
    <x v="0"/>
    <x v="1"/>
    <n v="7"/>
    <n v="3.3469000000000002"/>
  </r>
  <r>
    <x v="22"/>
    <x v="1"/>
    <x v="0"/>
    <n v="50"/>
    <n v="2.0691999999999999"/>
  </r>
  <r>
    <x v="22"/>
    <x v="1"/>
    <x v="1"/>
    <n v="34"/>
    <n v="3.9634999999999998"/>
  </r>
  <r>
    <x v="22"/>
    <x v="2"/>
    <x v="0"/>
    <n v="34"/>
    <n v="2.0836000000000001"/>
  </r>
  <r>
    <x v="22"/>
    <x v="2"/>
    <x v="1"/>
    <n v="23"/>
    <n v="4.5180999999999996"/>
  </r>
  <r>
    <x v="23"/>
    <x v="0"/>
    <x v="0"/>
    <n v="4"/>
    <n v="2.7391000000000001"/>
  </r>
  <r>
    <x v="23"/>
    <x v="0"/>
    <x v="1"/>
    <n v="3"/>
    <n v="4.1702000000000004"/>
  </r>
  <r>
    <x v="23"/>
    <x v="1"/>
    <x v="0"/>
    <n v="13"/>
    <n v="2.1"/>
  </r>
  <r>
    <x v="23"/>
    <x v="1"/>
    <x v="1"/>
    <n v="10"/>
    <n v="3.2029000000000001"/>
  </r>
  <r>
    <x v="23"/>
    <x v="2"/>
    <x v="0"/>
    <n v="6"/>
    <n v="2.5691999999999999"/>
  </r>
  <r>
    <x v="23"/>
    <x v="2"/>
    <x v="1"/>
    <n v="6"/>
    <n v="6.2222"/>
  </r>
  <r>
    <x v="24"/>
    <x v="0"/>
    <x v="0"/>
    <n v="32"/>
    <n v="2.3942999999999999"/>
  </r>
  <r>
    <x v="24"/>
    <x v="0"/>
    <x v="1"/>
    <n v="25"/>
    <n v="3.3614000000000002"/>
  </r>
  <r>
    <x v="24"/>
    <x v="1"/>
    <x v="0"/>
    <n v="90"/>
    <n v="2.4382000000000001"/>
  </r>
  <r>
    <x v="24"/>
    <x v="1"/>
    <x v="1"/>
    <n v="94"/>
    <n v="3.7987000000000002"/>
  </r>
  <r>
    <x v="24"/>
    <x v="2"/>
    <x v="0"/>
    <n v="59"/>
    <n v="2.6819000000000002"/>
  </r>
  <r>
    <x v="24"/>
    <x v="2"/>
    <x v="1"/>
    <n v="47"/>
    <n v="4.9420000000000002"/>
  </r>
  <r>
    <x v="25"/>
    <x v="0"/>
    <x v="0"/>
    <n v="25"/>
    <n v="2.8443999999999998"/>
  </r>
  <r>
    <x v="25"/>
    <x v="0"/>
    <x v="1"/>
    <n v="15"/>
    <n v="3.7040000000000002"/>
  </r>
  <r>
    <x v="25"/>
    <x v="1"/>
    <x v="0"/>
    <n v="60"/>
    <n v="2.8003"/>
  </r>
  <r>
    <x v="25"/>
    <x v="1"/>
    <x v="1"/>
    <n v="63"/>
    <n v="3.5836000000000001"/>
  </r>
  <r>
    <x v="25"/>
    <x v="2"/>
    <x v="0"/>
    <n v="46"/>
    <n v="2.5421999999999998"/>
  </r>
  <r>
    <x v="25"/>
    <x v="2"/>
    <x v="1"/>
    <n v="43"/>
    <n v="3.7229000000000001"/>
  </r>
  <r>
    <x v="26"/>
    <x v="0"/>
    <x v="0"/>
    <n v="50"/>
    <n v="2.5886999999999998"/>
  </r>
  <r>
    <x v="26"/>
    <x v="0"/>
    <x v="1"/>
    <n v="38"/>
    <n v="4.3861999999999997"/>
  </r>
  <r>
    <x v="26"/>
    <x v="1"/>
    <x v="0"/>
    <n v="154"/>
    <n v="2.2185999999999999"/>
  </r>
  <r>
    <x v="26"/>
    <x v="1"/>
    <x v="1"/>
    <n v="175"/>
    <n v="4.1215999999999999"/>
  </r>
  <r>
    <x v="26"/>
    <x v="2"/>
    <x v="0"/>
    <n v="110"/>
    <n v="2.3913000000000002"/>
  </r>
  <r>
    <x v="26"/>
    <x v="2"/>
    <x v="1"/>
    <n v="108"/>
    <n v="3.7435"/>
  </r>
  <r>
    <x v="27"/>
    <x v="0"/>
    <x v="0"/>
    <n v="7"/>
    <n v="2.6383000000000001"/>
  </r>
  <r>
    <x v="27"/>
    <x v="0"/>
    <x v="1"/>
    <n v="10"/>
    <n v="3.589"/>
  </r>
  <r>
    <x v="27"/>
    <x v="1"/>
    <x v="0"/>
    <n v="37"/>
    <n v="2.3733"/>
  </r>
  <r>
    <x v="27"/>
    <x v="1"/>
    <x v="1"/>
    <n v="41"/>
    <n v="3.4992000000000001"/>
  </r>
  <r>
    <x v="27"/>
    <x v="2"/>
    <x v="0"/>
    <n v="21"/>
    <n v="3.3273999999999999"/>
  </r>
  <r>
    <x v="27"/>
    <x v="2"/>
    <x v="1"/>
    <n v="36"/>
    <n v="3.6637"/>
  </r>
  <r>
    <x v="28"/>
    <x v="0"/>
    <x v="0"/>
    <n v="531"/>
    <n v="2.3727999999999998"/>
  </r>
  <r>
    <x v="28"/>
    <x v="0"/>
    <x v="1"/>
    <n v="468"/>
    <n v="4.2267999999999999"/>
  </r>
  <r>
    <x v="28"/>
    <x v="1"/>
    <x v="0"/>
    <n v="1842"/>
    <n v="2.3624000000000001"/>
  </r>
  <r>
    <x v="28"/>
    <x v="1"/>
    <x v="1"/>
    <n v="1676"/>
    <n v="4.1505000000000001"/>
  </r>
  <r>
    <x v="28"/>
    <x v="2"/>
    <x v="0"/>
    <n v="1349"/>
    <n v="2.4085999999999999"/>
  </r>
  <r>
    <x v="28"/>
    <x v="2"/>
    <x v="1"/>
    <n v="1128"/>
    <n v="4.2217000000000002"/>
  </r>
  <r>
    <x v="29"/>
    <x v="0"/>
    <x v="0"/>
    <n v="2"/>
    <n v="1.8125"/>
  </r>
  <r>
    <x v="29"/>
    <x v="0"/>
    <x v="1"/>
    <n v="8"/>
    <n v="4.4530000000000003"/>
  </r>
  <r>
    <x v="29"/>
    <x v="1"/>
    <x v="0"/>
    <n v="16"/>
    <n v="2.1589"/>
  </r>
  <r>
    <x v="29"/>
    <x v="1"/>
    <x v="1"/>
    <n v="16"/>
    <n v="4.1073000000000004"/>
  </r>
  <r>
    <x v="29"/>
    <x v="2"/>
    <x v="0"/>
    <n v="4"/>
    <n v="3.1053000000000002"/>
  </r>
  <r>
    <x v="29"/>
    <x v="2"/>
    <x v="1"/>
    <n v="10"/>
    <n v="4.3033999999999999"/>
  </r>
  <r>
    <x v="30"/>
    <x v="0"/>
    <x v="0"/>
    <n v="62"/>
    <n v="2.2557999999999998"/>
  </r>
  <r>
    <x v="30"/>
    <x v="0"/>
    <x v="1"/>
    <n v="64"/>
    <n v="3.6499000000000001"/>
  </r>
  <r>
    <x v="30"/>
    <x v="1"/>
    <x v="0"/>
    <n v="227"/>
    <n v="2.4651999999999998"/>
  </r>
  <r>
    <x v="30"/>
    <x v="1"/>
    <x v="1"/>
    <n v="207"/>
    <n v="4.0186999999999999"/>
  </r>
  <r>
    <x v="30"/>
    <x v="2"/>
    <x v="0"/>
    <n v="169"/>
    <n v="2.4529000000000001"/>
  </r>
  <r>
    <x v="30"/>
    <x v="2"/>
    <x v="1"/>
    <n v="144"/>
    <n v="4.2089999999999996"/>
  </r>
  <r>
    <x v="31"/>
    <x v="0"/>
    <x v="0"/>
    <n v="117"/>
    <n v="2.1495000000000002"/>
  </r>
  <r>
    <x v="31"/>
    <x v="0"/>
    <x v="1"/>
    <n v="118"/>
    <n v="4.5510999999999999"/>
  </r>
  <r>
    <x v="31"/>
    <x v="1"/>
    <x v="0"/>
    <n v="465"/>
    <n v="2.4841000000000002"/>
  </r>
  <r>
    <x v="31"/>
    <x v="1"/>
    <x v="1"/>
    <n v="359"/>
    <n v="4.2609000000000004"/>
  </r>
  <r>
    <x v="31"/>
    <x v="2"/>
    <x v="0"/>
    <n v="306"/>
    <n v="2.3441000000000001"/>
  </r>
  <r>
    <x v="31"/>
    <x v="2"/>
    <x v="1"/>
    <n v="302"/>
    <n v="4.2864000000000004"/>
  </r>
  <r>
    <x v="32"/>
    <x v="0"/>
    <x v="0"/>
    <n v="24"/>
    <n v="1.9447000000000001"/>
  </r>
  <r>
    <x v="32"/>
    <x v="0"/>
    <x v="1"/>
    <n v="14"/>
    <n v="4.1829999999999998"/>
  </r>
  <r>
    <x v="32"/>
    <x v="1"/>
    <x v="0"/>
    <n v="45"/>
    <n v="1.9591000000000001"/>
  </r>
  <r>
    <x v="32"/>
    <x v="1"/>
    <x v="1"/>
    <n v="38"/>
    <n v="4.0141999999999998"/>
  </r>
  <r>
    <x v="32"/>
    <x v="2"/>
    <x v="0"/>
    <n v="32"/>
    <n v="3.0406"/>
  </r>
  <r>
    <x v="32"/>
    <x v="2"/>
    <x v="1"/>
    <n v="34"/>
    <n v="4.2877999999999998"/>
  </r>
  <r>
    <x v="33"/>
    <x v="0"/>
    <x v="0"/>
    <n v="29"/>
    <n v="2.4662000000000002"/>
  </r>
  <r>
    <x v="33"/>
    <x v="0"/>
    <x v="1"/>
    <n v="43"/>
    <n v="3.3443000000000001"/>
  </r>
  <r>
    <x v="33"/>
    <x v="1"/>
    <x v="0"/>
    <n v="127"/>
    <n v="2.2742"/>
  </r>
  <r>
    <x v="33"/>
    <x v="1"/>
    <x v="1"/>
    <n v="129"/>
    <n v="4.2186000000000003"/>
  </r>
  <r>
    <x v="33"/>
    <x v="2"/>
    <x v="0"/>
    <n v="96"/>
    <n v="2.5127000000000002"/>
  </r>
  <r>
    <x v="33"/>
    <x v="2"/>
    <x v="1"/>
    <n v="83"/>
    <n v="4.4428000000000001"/>
  </r>
  <r>
    <x v="34"/>
    <x v="0"/>
    <x v="0"/>
    <n v="34"/>
    <n v="3.0808"/>
  </r>
  <r>
    <x v="34"/>
    <x v="0"/>
    <x v="1"/>
    <n v="37"/>
    <n v="3.9964"/>
  </r>
  <r>
    <x v="34"/>
    <x v="1"/>
    <x v="0"/>
    <n v="162"/>
    <n v="2.415"/>
  </r>
  <r>
    <x v="34"/>
    <x v="1"/>
    <x v="1"/>
    <n v="134"/>
    <n v="4.0206"/>
  </r>
  <r>
    <x v="34"/>
    <x v="2"/>
    <x v="0"/>
    <n v="105"/>
    <n v="1.9837"/>
  </r>
  <r>
    <x v="34"/>
    <x v="2"/>
    <x v="1"/>
    <n v="81"/>
    <n v="4.1277999999999997"/>
  </r>
  <r>
    <x v="35"/>
    <x v="0"/>
    <x v="0"/>
    <n v="5"/>
    <n v="1.175"/>
  </r>
  <r>
    <x v="35"/>
    <x v="0"/>
    <x v="1"/>
    <n v="5"/>
    <n v="2.2381000000000002"/>
  </r>
  <r>
    <x v="35"/>
    <x v="1"/>
    <x v="0"/>
    <n v="16"/>
    <n v="2.0215999999999998"/>
  </r>
  <r>
    <x v="35"/>
    <x v="1"/>
    <x v="1"/>
    <n v="20"/>
    <n v="3.5015999999999998"/>
  </r>
  <r>
    <x v="35"/>
    <x v="2"/>
    <x v="0"/>
    <n v="15"/>
    <n v="1.6580999999999999"/>
  </r>
  <r>
    <x v="35"/>
    <x v="2"/>
    <x v="1"/>
    <n v="14"/>
    <n v="3.71"/>
  </r>
  <r>
    <x v="36"/>
    <x v="0"/>
    <x v="0"/>
    <n v="39"/>
    <n v="1.7765"/>
  </r>
  <r>
    <x v="36"/>
    <x v="0"/>
    <x v="1"/>
    <n v="30"/>
    <n v="3.9274"/>
  </r>
  <r>
    <x v="36"/>
    <x v="1"/>
    <x v="0"/>
    <n v="97"/>
    <n v="1.9091"/>
  </r>
  <r>
    <x v="36"/>
    <x v="1"/>
    <x v="1"/>
    <n v="107"/>
    <n v="3.8980999999999999"/>
  </r>
  <r>
    <x v="36"/>
    <x v="2"/>
    <x v="0"/>
    <n v="77"/>
    <n v="2.6238999999999999"/>
  </r>
  <r>
    <x v="36"/>
    <x v="2"/>
    <x v="1"/>
    <n v="70"/>
    <n v="4.2716000000000003"/>
  </r>
  <r>
    <x v="37"/>
    <x v="0"/>
    <x v="0"/>
    <n v="44"/>
    <n v="1.8898999999999999"/>
  </r>
  <r>
    <x v="37"/>
    <x v="0"/>
    <x v="1"/>
    <n v="37"/>
    <n v="3.4952999999999999"/>
  </r>
  <r>
    <x v="37"/>
    <x v="1"/>
    <x v="0"/>
    <n v="128"/>
    <n v="2.41"/>
  </r>
  <r>
    <x v="37"/>
    <x v="1"/>
    <x v="1"/>
    <n v="122"/>
    <n v="3.9544999999999999"/>
  </r>
  <r>
    <x v="37"/>
    <x v="2"/>
    <x v="0"/>
    <n v="103"/>
    <n v="2.6560999999999999"/>
  </r>
  <r>
    <x v="37"/>
    <x v="2"/>
    <x v="1"/>
    <n v="86"/>
    <n v="4.4294000000000002"/>
  </r>
  <r>
    <x v="38"/>
    <x v="0"/>
    <x v="0"/>
    <n v="7"/>
    <n v="1.8125"/>
  </r>
  <r>
    <x v="38"/>
    <x v="0"/>
    <x v="1"/>
    <n v="4"/>
    <n v="3.5613999999999999"/>
  </r>
  <r>
    <x v="38"/>
    <x v="1"/>
    <x v="0"/>
    <n v="8"/>
    <n v="1.4482999999999999"/>
  </r>
  <r>
    <x v="38"/>
    <x v="1"/>
    <x v="1"/>
    <n v="10"/>
    <n v="3.2867999999999999"/>
  </r>
  <r>
    <x v="38"/>
    <x v="2"/>
    <x v="0"/>
    <n v="3"/>
    <n v="1.2813000000000001"/>
  </r>
  <r>
    <x v="38"/>
    <x v="2"/>
    <x v="1"/>
    <n v="7"/>
    <n v="3.9544999999999999"/>
  </r>
  <r>
    <x v="39"/>
    <x v="0"/>
    <x v="0"/>
    <n v="206"/>
    <n v="2.4171"/>
  </r>
  <r>
    <x v="39"/>
    <x v="0"/>
    <x v="1"/>
    <n v="191"/>
    <n v="4.3433000000000002"/>
  </r>
  <r>
    <x v="39"/>
    <x v="1"/>
    <x v="0"/>
    <n v="753"/>
    <n v="2.2768000000000002"/>
  </r>
  <r>
    <x v="39"/>
    <x v="1"/>
    <x v="1"/>
    <n v="706"/>
    <n v="4.0528000000000004"/>
  </r>
  <r>
    <x v="39"/>
    <x v="2"/>
    <x v="0"/>
    <n v="528"/>
    <n v="2.3887"/>
  </r>
  <r>
    <x v="39"/>
    <x v="2"/>
    <x v="1"/>
    <n v="487"/>
    <n v="4.2069999999999999"/>
  </r>
  <r>
    <x v="40"/>
    <x v="0"/>
    <x v="0"/>
    <n v="5"/>
    <n v="1.3555999999999999"/>
  </r>
  <r>
    <x v="40"/>
    <x v="0"/>
    <x v="1"/>
    <n v="10"/>
    <n v="4.5435999999999996"/>
  </r>
  <r>
    <x v="40"/>
    <x v="1"/>
    <x v="0"/>
    <n v="30"/>
    <n v="2.4157000000000002"/>
  </r>
  <r>
    <x v="40"/>
    <x v="1"/>
    <x v="1"/>
    <n v="30"/>
    <n v="3.7942999999999998"/>
  </r>
  <r>
    <x v="40"/>
    <x v="2"/>
    <x v="0"/>
    <n v="17"/>
    <n v="2.3736999999999999"/>
  </r>
  <r>
    <x v="40"/>
    <x v="2"/>
    <x v="1"/>
    <n v="16"/>
    <n v="3.2717999999999998"/>
  </r>
  <r>
    <x v="41"/>
    <x v="0"/>
    <x v="1"/>
    <n v="1"/>
    <n v="2"/>
  </r>
  <r>
    <x v="41"/>
    <x v="1"/>
    <x v="0"/>
    <n v="2"/>
    <n v="3"/>
  </r>
  <r>
    <x v="41"/>
    <x v="1"/>
    <x v="1"/>
    <n v="4"/>
    <n v="4.5574000000000003"/>
  </r>
  <r>
    <x v="41"/>
    <x v="2"/>
    <x v="0"/>
    <n v="2"/>
    <n v="3"/>
  </r>
  <r>
    <x v="41"/>
    <x v="2"/>
    <x v="1"/>
    <n v="4"/>
    <n v="2.75"/>
  </r>
  <r>
    <x v="42"/>
    <x v="0"/>
    <x v="0"/>
    <n v="267"/>
    <n v="2.6677"/>
  </r>
  <r>
    <x v="42"/>
    <x v="0"/>
    <x v="1"/>
    <n v="205"/>
    <n v="4.1007999999999996"/>
  </r>
  <r>
    <x v="42"/>
    <x v="1"/>
    <x v="0"/>
    <n v="889"/>
    <n v="2.3521999999999998"/>
  </r>
  <r>
    <x v="42"/>
    <x v="1"/>
    <x v="1"/>
    <n v="793"/>
    <n v="3.9828999999999999"/>
  </r>
  <r>
    <x v="42"/>
    <x v="2"/>
    <x v="0"/>
    <n v="624"/>
    <n v="2.2378"/>
  </r>
  <r>
    <x v="42"/>
    <x v="2"/>
    <x v="1"/>
    <n v="547"/>
    <n v="4.0180999999999996"/>
  </r>
  <r>
    <x v="43"/>
    <x v="0"/>
    <x v="0"/>
    <n v="798"/>
    <n v="2.3458000000000001"/>
  </r>
  <r>
    <x v="43"/>
    <x v="0"/>
    <x v="1"/>
    <n v="672"/>
    <n v="4.1760000000000002"/>
  </r>
  <r>
    <x v="43"/>
    <x v="1"/>
    <x v="0"/>
    <n v="2756"/>
    <n v="2.3654999999999999"/>
  </r>
  <r>
    <x v="43"/>
    <x v="1"/>
    <x v="1"/>
    <n v="2461"/>
    <n v="4.0971000000000002"/>
  </r>
  <r>
    <x v="43"/>
    <x v="2"/>
    <x v="0"/>
    <n v="1980"/>
    <n v="2.3243999999999998"/>
  </r>
  <r>
    <x v="43"/>
    <x v="2"/>
    <x v="1"/>
    <n v="1634"/>
    <n v="4.0911999999999997"/>
  </r>
  <r>
    <x v="44"/>
    <x v="0"/>
    <x v="0"/>
    <n v="28"/>
    <n v="2.8081999999999998"/>
  </r>
  <r>
    <x v="44"/>
    <x v="0"/>
    <x v="1"/>
    <n v="32"/>
    <n v="4.0960999999999999"/>
  </r>
  <r>
    <x v="44"/>
    <x v="1"/>
    <x v="0"/>
    <n v="99"/>
    <n v="2.4375"/>
  </r>
  <r>
    <x v="44"/>
    <x v="1"/>
    <x v="1"/>
    <n v="85"/>
    <n v="3.8492000000000002"/>
  </r>
  <r>
    <x v="44"/>
    <x v="2"/>
    <x v="0"/>
    <n v="70"/>
    <n v="2.2484000000000002"/>
  </r>
  <r>
    <x v="44"/>
    <x v="2"/>
    <x v="1"/>
    <n v="76"/>
    <n v="4.2106000000000003"/>
  </r>
  <r>
    <x v="45"/>
    <x v="0"/>
    <x v="0"/>
    <n v="14"/>
    <n v="2.4"/>
  </r>
  <r>
    <x v="45"/>
    <x v="0"/>
    <x v="1"/>
    <n v="10"/>
    <n v="5.3362999999999996"/>
  </r>
  <r>
    <x v="45"/>
    <x v="1"/>
    <x v="0"/>
    <n v="37"/>
    <n v="1.8734"/>
  </r>
  <r>
    <x v="45"/>
    <x v="1"/>
    <x v="1"/>
    <n v="32"/>
    <n v="3.9011999999999998"/>
  </r>
  <r>
    <x v="45"/>
    <x v="2"/>
    <x v="0"/>
    <n v="25"/>
    <n v="1.4752000000000001"/>
  </r>
  <r>
    <x v="45"/>
    <x v="2"/>
    <x v="1"/>
    <n v="19"/>
    <n v="5.3524000000000003"/>
  </r>
  <r>
    <x v="46"/>
    <x v="0"/>
    <x v="0"/>
    <n v="1"/>
    <n v="5"/>
  </r>
  <r>
    <x v="46"/>
    <x v="1"/>
    <x v="0"/>
    <n v="2"/>
    <n v="1.6841999999999999"/>
  </r>
  <r>
    <x v="46"/>
    <x v="1"/>
    <x v="1"/>
    <n v="1"/>
    <n v="3"/>
  </r>
  <r>
    <x v="46"/>
    <x v="2"/>
    <x v="1"/>
    <n v="1"/>
    <n v="10"/>
  </r>
  <r>
    <x v="47"/>
    <x v="0"/>
    <x v="0"/>
    <n v="7"/>
    <n v="2.5714000000000001"/>
  </r>
  <r>
    <x v="47"/>
    <x v="0"/>
    <x v="1"/>
    <n v="10"/>
    <n v="3.5815999999999999"/>
  </r>
  <r>
    <x v="47"/>
    <x v="1"/>
    <x v="0"/>
    <n v="36"/>
    <n v="2.2391999999999999"/>
  </r>
  <r>
    <x v="47"/>
    <x v="1"/>
    <x v="1"/>
    <n v="19"/>
    <n v="3.7463000000000002"/>
  </r>
  <r>
    <x v="47"/>
    <x v="2"/>
    <x v="0"/>
    <n v="18"/>
    <n v="3.1040000000000001"/>
  </r>
  <r>
    <x v="47"/>
    <x v="2"/>
    <x v="1"/>
    <n v="15"/>
    <n v="4.5044000000000004"/>
  </r>
  <r>
    <x v="48"/>
    <x v="0"/>
    <x v="0"/>
    <n v="18"/>
    <n v="3.1774"/>
  </r>
  <r>
    <x v="48"/>
    <x v="0"/>
    <x v="1"/>
    <n v="10"/>
    <n v="3.2805"/>
  </r>
  <r>
    <x v="48"/>
    <x v="1"/>
    <x v="0"/>
    <n v="60"/>
    <n v="2.4401999999999999"/>
  </r>
  <r>
    <x v="48"/>
    <x v="1"/>
    <x v="1"/>
    <n v="52"/>
    <n v="3.6164999999999998"/>
  </r>
  <r>
    <x v="48"/>
    <x v="2"/>
    <x v="0"/>
    <n v="43"/>
    <n v="2.0388000000000002"/>
  </r>
  <r>
    <x v="48"/>
    <x v="2"/>
    <x v="1"/>
    <n v="40"/>
    <n v="4.9798999999999998"/>
  </r>
  <r>
    <x v="49"/>
    <x v="0"/>
    <x v="0"/>
    <n v="824"/>
    <n v="2.2787999999999999"/>
  </r>
  <r>
    <x v="49"/>
    <x v="0"/>
    <x v="1"/>
    <n v="716"/>
    <n v="3.9940000000000002"/>
  </r>
  <r>
    <x v="49"/>
    <x v="1"/>
    <x v="0"/>
    <n v="2672"/>
    <n v="2.3079999999999998"/>
  </r>
  <r>
    <x v="49"/>
    <x v="1"/>
    <x v="1"/>
    <n v="2311"/>
    <n v="4.0819000000000001"/>
  </r>
  <r>
    <x v="49"/>
    <x v="2"/>
    <x v="0"/>
    <n v="1887"/>
    <n v="2.3746"/>
  </r>
  <r>
    <x v="49"/>
    <x v="2"/>
    <x v="1"/>
    <n v="1680"/>
    <n v="3.9710000000000001"/>
  </r>
  <r>
    <x v="50"/>
    <x v="0"/>
    <x v="0"/>
    <n v="32"/>
    <n v="2.6412"/>
  </r>
  <r>
    <x v="50"/>
    <x v="0"/>
    <x v="1"/>
    <n v="26"/>
    <n v="4.0758999999999999"/>
  </r>
  <r>
    <x v="50"/>
    <x v="1"/>
    <x v="0"/>
    <n v="82"/>
    <n v="2.3365"/>
  </r>
  <r>
    <x v="50"/>
    <x v="1"/>
    <x v="1"/>
    <n v="94"/>
    <n v="4.0457999999999998"/>
  </r>
  <r>
    <x v="50"/>
    <x v="2"/>
    <x v="0"/>
    <n v="64"/>
    <n v="2.3285"/>
  </r>
  <r>
    <x v="50"/>
    <x v="2"/>
    <x v="1"/>
    <n v="56"/>
    <n v="4.6435000000000004"/>
  </r>
  <r>
    <x v="51"/>
    <x v="0"/>
    <x v="0"/>
    <n v="5"/>
    <n v="2.7576000000000001"/>
  </r>
  <r>
    <x v="51"/>
    <x v="0"/>
    <x v="1"/>
    <n v="7"/>
    <n v="3.9619"/>
  </r>
  <r>
    <x v="51"/>
    <x v="1"/>
    <x v="0"/>
    <n v="18"/>
    <n v="2.2233999999999998"/>
  </r>
  <r>
    <x v="51"/>
    <x v="1"/>
    <x v="1"/>
    <n v="27"/>
    <n v="4.0145999999999997"/>
  </r>
  <r>
    <x v="51"/>
    <x v="2"/>
    <x v="0"/>
    <n v="13"/>
    <n v="2.8376999999999999"/>
  </r>
  <r>
    <x v="51"/>
    <x v="2"/>
    <x v="1"/>
    <n v="13"/>
    <n v="3.8102"/>
  </r>
  <r>
    <x v="52"/>
    <x v="0"/>
    <x v="0"/>
    <n v="7"/>
    <n v="1.91"/>
  </r>
  <r>
    <x v="52"/>
    <x v="0"/>
    <x v="1"/>
    <n v="5"/>
    <n v="4.4085000000000001"/>
  </r>
  <r>
    <x v="52"/>
    <x v="1"/>
    <x v="0"/>
    <n v="10"/>
    <n v="1.6186"/>
  </r>
  <r>
    <x v="52"/>
    <x v="1"/>
    <x v="1"/>
    <n v="8"/>
    <n v="5.51"/>
  </r>
  <r>
    <x v="52"/>
    <x v="2"/>
    <x v="0"/>
    <n v="5"/>
    <n v="1.2692000000000001"/>
  </r>
  <r>
    <x v="52"/>
    <x v="2"/>
    <x v="1"/>
    <n v="11"/>
    <n v="3.8555999999999999"/>
  </r>
  <r>
    <x v="53"/>
    <x v="0"/>
    <x v="0"/>
    <n v="123"/>
    <n v="2.2387999999999999"/>
  </r>
  <r>
    <x v="53"/>
    <x v="0"/>
    <x v="1"/>
    <n v="126"/>
    <n v="4.1856999999999998"/>
  </r>
  <r>
    <x v="53"/>
    <x v="1"/>
    <x v="0"/>
    <n v="465"/>
    <n v="2.2627999999999999"/>
  </r>
  <r>
    <x v="53"/>
    <x v="1"/>
    <x v="1"/>
    <n v="386"/>
    <n v="4.1018999999999997"/>
  </r>
  <r>
    <x v="53"/>
    <x v="2"/>
    <x v="0"/>
    <n v="281"/>
    <n v="2.5789"/>
  </r>
  <r>
    <x v="53"/>
    <x v="2"/>
    <x v="1"/>
    <n v="265"/>
    <n v="3.8730000000000002"/>
  </r>
  <r>
    <x v="54"/>
    <x v="0"/>
    <x v="0"/>
    <n v="29"/>
    <n v="2.4666999999999999"/>
  </r>
  <r>
    <x v="54"/>
    <x v="0"/>
    <x v="1"/>
    <n v="37"/>
    <n v="4.0586000000000002"/>
  </r>
  <r>
    <x v="54"/>
    <x v="1"/>
    <x v="0"/>
    <n v="128"/>
    <n v="2.1315"/>
  </r>
  <r>
    <x v="54"/>
    <x v="1"/>
    <x v="1"/>
    <n v="136"/>
    <n v="3.8612000000000002"/>
  </r>
  <r>
    <x v="54"/>
    <x v="2"/>
    <x v="0"/>
    <n v="101"/>
    <n v="2.0295000000000001"/>
  </r>
  <r>
    <x v="54"/>
    <x v="2"/>
    <x v="1"/>
    <n v="110"/>
    <n v="4.0391000000000004"/>
  </r>
  <r>
    <x v="55"/>
    <x v="0"/>
    <x v="0"/>
    <n v="12"/>
    <n v="1.2907"/>
  </r>
  <r>
    <x v="55"/>
    <x v="0"/>
    <x v="1"/>
    <n v="14"/>
    <n v="3.37"/>
  </r>
  <r>
    <x v="55"/>
    <x v="1"/>
    <x v="0"/>
    <n v="23"/>
    <n v="3.6396999999999999"/>
  </r>
  <r>
    <x v="55"/>
    <x v="1"/>
    <x v="1"/>
    <n v="30"/>
    <n v="3.7934999999999999"/>
  </r>
  <r>
    <x v="55"/>
    <x v="2"/>
    <x v="0"/>
    <n v="20"/>
    <n v="1.7410000000000001"/>
  </r>
  <r>
    <x v="55"/>
    <x v="2"/>
    <x v="1"/>
    <n v="25"/>
    <n v="4.0628000000000002"/>
  </r>
  <r>
    <x v="56"/>
    <x v="0"/>
    <x v="0"/>
    <n v="110"/>
    <n v="2.7991999999999999"/>
  </r>
  <r>
    <x v="56"/>
    <x v="0"/>
    <x v="1"/>
    <n v="113"/>
    <n v="4.0149999999999997"/>
  </r>
  <r>
    <x v="56"/>
    <x v="1"/>
    <x v="0"/>
    <n v="319"/>
    <n v="2.3439000000000001"/>
  </r>
  <r>
    <x v="56"/>
    <x v="1"/>
    <x v="1"/>
    <n v="281"/>
    <n v="4.202"/>
  </r>
  <r>
    <x v="56"/>
    <x v="2"/>
    <x v="0"/>
    <n v="253"/>
    <n v="2.2827999999999999"/>
  </r>
  <r>
    <x v="56"/>
    <x v="2"/>
    <x v="1"/>
    <n v="240"/>
    <n v="4.5202999999999998"/>
  </r>
  <r>
    <x v="57"/>
    <x v="0"/>
    <x v="0"/>
    <n v="41"/>
    <n v="2.1175999999999999"/>
  </r>
  <r>
    <x v="57"/>
    <x v="0"/>
    <x v="1"/>
    <n v="32"/>
    <n v="3.9460999999999999"/>
  </r>
  <r>
    <x v="57"/>
    <x v="1"/>
    <x v="0"/>
    <n v="112"/>
    <n v="2.3755000000000002"/>
  </r>
  <r>
    <x v="57"/>
    <x v="1"/>
    <x v="1"/>
    <n v="121"/>
    <n v="4.0429000000000004"/>
  </r>
  <r>
    <x v="57"/>
    <x v="2"/>
    <x v="0"/>
    <n v="85"/>
    <n v="2.0788000000000002"/>
  </r>
  <r>
    <x v="57"/>
    <x v="2"/>
    <x v="1"/>
    <n v="83"/>
    <n v="3.8864000000000001"/>
  </r>
  <r>
    <x v="58"/>
    <x v="0"/>
    <x v="0"/>
    <n v="7"/>
    <n v="2.0684999999999998"/>
  </r>
  <r>
    <x v="58"/>
    <x v="0"/>
    <x v="1"/>
    <n v="6"/>
    <n v="5.2820999999999998"/>
  </r>
  <r>
    <x v="58"/>
    <x v="1"/>
    <x v="0"/>
    <n v="32"/>
    <n v="2.4075000000000002"/>
  </r>
  <r>
    <x v="58"/>
    <x v="1"/>
    <x v="1"/>
    <n v="27"/>
    <n v="3.8767"/>
  </r>
  <r>
    <x v="58"/>
    <x v="2"/>
    <x v="0"/>
    <n v="13"/>
    <n v="2.2930999999999999"/>
  </r>
  <r>
    <x v="58"/>
    <x v="2"/>
    <x v="1"/>
    <n v="12"/>
    <n v="3.7654999999999998"/>
  </r>
  <r>
    <x v="59"/>
    <x v="0"/>
    <x v="0"/>
    <n v="614"/>
    <n v="2.5236000000000001"/>
  </r>
  <r>
    <x v="59"/>
    <x v="0"/>
    <x v="1"/>
    <n v="480"/>
    <n v="4.0407999999999999"/>
  </r>
  <r>
    <x v="59"/>
    <x v="1"/>
    <x v="0"/>
    <n v="2002"/>
    <n v="2.3660999999999999"/>
  </r>
  <r>
    <x v="59"/>
    <x v="1"/>
    <x v="1"/>
    <n v="1747"/>
    <n v="4.1111000000000004"/>
  </r>
  <r>
    <x v="59"/>
    <x v="2"/>
    <x v="0"/>
    <n v="1425"/>
    <n v="2.3296999999999999"/>
  </r>
  <r>
    <x v="59"/>
    <x v="2"/>
    <x v="1"/>
    <n v="1119"/>
    <n v="4.2015000000000002"/>
  </r>
  <r>
    <x v="60"/>
    <x v="0"/>
    <x v="0"/>
    <n v="380"/>
    <n v="2.2088999999999999"/>
  </r>
  <r>
    <x v="60"/>
    <x v="0"/>
    <x v="1"/>
    <n v="337"/>
    <n v="4.0956000000000001"/>
  </r>
  <r>
    <x v="60"/>
    <x v="1"/>
    <x v="0"/>
    <n v="1206"/>
    <n v="2.4981"/>
  </r>
  <r>
    <x v="60"/>
    <x v="1"/>
    <x v="1"/>
    <n v="1122"/>
    <n v="4.0559000000000003"/>
  </r>
  <r>
    <x v="60"/>
    <x v="2"/>
    <x v="0"/>
    <n v="832"/>
    <n v="2.2814999999999999"/>
  </r>
  <r>
    <x v="60"/>
    <x v="2"/>
    <x v="1"/>
    <n v="777"/>
    <n v="3.9823"/>
  </r>
  <r>
    <x v="61"/>
    <x v="0"/>
    <x v="0"/>
    <n v="1"/>
    <n v="1"/>
  </r>
  <r>
    <x v="61"/>
    <x v="0"/>
    <x v="1"/>
    <n v="1"/>
    <n v="2"/>
  </r>
  <r>
    <x v="61"/>
    <x v="1"/>
    <x v="0"/>
    <n v="2"/>
    <n v="1"/>
  </r>
  <r>
    <x v="61"/>
    <x v="2"/>
    <x v="1"/>
    <n v="2"/>
    <n v="3.7391000000000001"/>
  </r>
  <r>
    <x v="62"/>
    <x v="0"/>
    <x v="0"/>
    <n v="22"/>
    <n v="1.6171"/>
  </r>
  <r>
    <x v="62"/>
    <x v="0"/>
    <x v="1"/>
    <n v="31"/>
    <n v="3.9790000000000001"/>
  </r>
  <r>
    <x v="62"/>
    <x v="1"/>
    <x v="0"/>
    <n v="86"/>
    <n v="2.6796000000000002"/>
  </r>
  <r>
    <x v="62"/>
    <x v="1"/>
    <x v="1"/>
    <n v="78"/>
    <n v="3.839"/>
  </r>
  <r>
    <x v="62"/>
    <x v="2"/>
    <x v="0"/>
    <n v="52"/>
    <n v="1.9705999999999999"/>
  </r>
  <r>
    <x v="62"/>
    <x v="2"/>
    <x v="1"/>
    <n v="59"/>
    <n v="4.1288999999999998"/>
  </r>
  <r>
    <x v="63"/>
    <x v="0"/>
    <x v="0"/>
    <n v="97"/>
    <n v="2.3144999999999998"/>
  </r>
  <r>
    <x v="63"/>
    <x v="0"/>
    <x v="1"/>
    <n v="75"/>
    <n v="4.3590999999999998"/>
  </r>
  <r>
    <x v="63"/>
    <x v="1"/>
    <x v="0"/>
    <n v="267"/>
    <n v="2.3083"/>
  </r>
  <r>
    <x v="63"/>
    <x v="1"/>
    <x v="1"/>
    <n v="265"/>
    <n v="4.2938000000000001"/>
  </r>
  <r>
    <x v="63"/>
    <x v="2"/>
    <x v="0"/>
    <n v="225"/>
    <n v="2.2347000000000001"/>
  </r>
  <r>
    <x v="63"/>
    <x v="2"/>
    <x v="1"/>
    <n v="193"/>
    <n v="4.0594000000000001"/>
  </r>
  <r>
    <x v="64"/>
    <x v="0"/>
    <x v="1"/>
    <n v="2"/>
    <n v="3.4706000000000001"/>
  </r>
  <r>
    <x v="64"/>
    <x v="1"/>
    <x v="0"/>
    <n v="5"/>
    <n v="1.0741000000000001"/>
  </r>
  <r>
    <x v="64"/>
    <x v="1"/>
    <x v="1"/>
    <n v="21"/>
    <n v="4.2454999999999998"/>
  </r>
  <r>
    <x v="64"/>
    <x v="2"/>
    <x v="0"/>
    <n v="6"/>
    <n v="1.6809000000000001"/>
  </r>
  <r>
    <x v="64"/>
    <x v="2"/>
    <x v="1"/>
    <n v="3"/>
    <n v="2.8367"/>
  </r>
  <r>
    <x v="65"/>
    <x v="0"/>
    <x v="0"/>
    <n v="952"/>
    <n v="2.3357999999999999"/>
  </r>
  <r>
    <x v="65"/>
    <x v="0"/>
    <x v="1"/>
    <n v="838"/>
    <n v="3.9685999999999999"/>
  </r>
  <r>
    <x v="65"/>
    <x v="1"/>
    <x v="0"/>
    <n v="3294"/>
    <n v="2.2965"/>
  </r>
  <r>
    <x v="65"/>
    <x v="1"/>
    <x v="1"/>
    <n v="2801"/>
    <n v="4.1840000000000002"/>
  </r>
  <r>
    <x v="65"/>
    <x v="2"/>
    <x v="0"/>
    <n v="2321"/>
    <n v="2.2772000000000001"/>
  </r>
  <r>
    <x v="65"/>
    <x v="2"/>
    <x v="1"/>
    <n v="1903"/>
    <n v="4.2324999999999999"/>
  </r>
  <r>
    <x v="66"/>
    <x v="0"/>
    <x v="0"/>
    <n v="589"/>
    <n v="2.3721000000000001"/>
  </r>
  <r>
    <x v="66"/>
    <x v="0"/>
    <x v="1"/>
    <n v="454"/>
    <n v="4.1593999999999998"/>
  </r>
  <r>
    <x v="66"/>
    <x v="1"/>
    <x v="0"/>
    <n v="1928"/>
    <n v="2.3696999999999999"/>
  </r>
  <r>
    <x v="66"/>
    <x v="1"/>
    <x v="1"/>
    <n v="1667"/>
    <n v="4.1313000000000004"/>
  </r>
  <r>
    <x v="66"/>
    <x v="2"/>
    <x v="0"/>
    <n v="1431"/>
    <n v="2.3641999999999999"/>
  </r>
  <r>
    <x v="66"/>
    <x v="2"/>
    <x v="1"/>
    <n v="1191"/>
    <n v="4.1204999999999998"/>
  </r>
  <r>
    <x v="67"/>
    <x v="0"/>
    <x v="0"/>
    <n v="5"/>
    <n v="1.8448"/>
  </r>
  <r>
    <x v="67"/>
    <x v="0"/>
    <x v="1"/>
    <n v="6"/>
    <n v="3.8700999999999999"/>
  </r>
  <r>
    <x v="67"/>
    <x v="1"/>
    <x v="0"/>
    <n v="14"/>
    <n v="2.6126999999999998"/>
  </r>
  <r>
    <x v="67"/>
    <x v="1"/>
    <x v="1"/>
    <n v="16"/>
    <n v="4.2980999999999998"/>
  </r>
  <r>
    <x v="67"/>
    <x v="2"/>
    <x v="0"/>
    <n v="9"/>
    <n v="1.6980999999999999"/>
  </r>
  <r>
    <x v="67"/>
    <x v="2"/>
    <x v="1"/>
    <n v="9"/>
    <n v="4"/>
  </r>
  <r>
    <x v="68"/>
    <x v="0"/>
    <x v="0"/>
    <n v="416"/>
    <n v="2.4750000000000001"/>
  </r>
  <r>
    <x v="68"/>
    <x v="0"/>
    <x v="1"/>
    <n v="330"/>
    <n v="4.1750999999999996"/>
  </r>
  <r>
    <x v="68"/>
    <x v="1"/>
    <x v="0"/>
    <n v="1307"/>
    <n v="2.3475999999999999"/>
  </r>
  <r>
    <x v="68"/>
    <x v="1"/>
    <x v="1"/>
    <n v="1140"/>
    <n v="4.1176000000000004"/>
  </r>
  <r>
    <x v="68"/>
    <x v="2"/>
    <x v="0"/>
    <n v="878"/>
    <n v="2.2886000000000002"/>
  </r>
  <r>
    <x v="68"/>
    <x v="2"/>
    <x v="1"/>
    <n v="824"/>
    <n v="4.0564999999999998"/>
  </r>
  <r>
    <x v="69"/>
    <x v="0"/>
    <x v="0"/>
    <n v="523"/>
    <n v="2.3990999999999998"/>
  </r>
  <r>
    <x v="69"/>
    <x v="0"/>
    <x v="1"/>
    <n v="402"/>
    <n v="3.9121999999999999"/>
  </r>
  <r>
    <x v="69"/>
    <x v="1"/>
    <x v="0"/>
    <n v="1807"/>
    <n v="2.2989999999999999"/>
  </r>
  <r>
    <x v="69"/>
    <x v="1"/>
    <x v="1"/>
    <n v="1548"/>
    <n v="4.1014999999999997"/>
  </r>
  <r>
    <x v="69"/>
    <x v="2"/>
    <x v="0"/>
    <n v="1254"/>
    <n v="2.2483"/>
  </r>
  <r>
    <x v="69"/>
    <x v="2"/>
    <x v="1"/>
    <n v="1048"/>
    <n v="4.2234999999999996"/>
  </r>
  <r>
    <x v="70"/>
    <x v="0"/>
    <x v="0"/>
    <n v="454"/>
    <n v="2.2671000000000001"/>
  </r>
  <r>
    <x v="70"/>
    <x v="0"/>
    <x v="1"/>
    <n v="382"/>
    <n v="3.8130000000000002"/>
  </r>
  <r>
    <x v="70"/>
    <x v="1"/>
    <x v="0"/>
    <n v="1526"/>
    <n v="2.4203999999999999"/>
  </r>
  <r>
    <x v="70"/>
    <x v="1"/>
    <x v="1"/>
    <n v="1417"/>
    <n v="4.1642999999999999"/>
  </r>
  <r>
    <x v="70"/>
    <x v="2"/>
    <x v="0"/>
    <n v="1153"/>
    <n v="2.2728999999999999"/>
  </r>
  <r>
    <x v="70"/>
    <x v="2"/>
    <x v="1"/>
    <n v="1002"/>
    <n v="4.0293000000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n v="4.0518000000000001"/>
    <n v="129853"/>
    <s v="Delayed"/>
  </r>
  <r>
    <x v="1"/>
    <n v="4.1021999999999998"/>
    <n v="74966"/>
    <s v="Delayed"/>
  </r>
  <r>
    <x v="2"/>
    <n v="4.0922999999999998"/>
    <n v="136251"/>
    <s v="Delayed"/>
  </r>
  <r>
    <x v="3"/>
    <n v="4.1128"/>
    <n v="77258"/>
    <s v="Delayed"/>
  </r>
  <r>
    <x v="4"/>
    <n v="4.0922999999999998"/>
    <n v="28006"/>
    <s v="Delayed"/>
  </r>
  <r>
    <x v="5"/>
    <n v="4.0431999999999997"/>
    <n v="16461"/>
    <s v="Delayed"/>
  </r>
  <r>
    <x v="6"/>
    <n v="4.0852000000000004"/>
    <n v="46945"/>
    <s v="Delayed"/>
  </r>
  <r>
    <x v="7"/>
    <n v="4.1139999999999999"/>
    <n v="65304"/>
    <s v="Delayed"/>
  </r>
  <r>
    <x v="8"/>
    <n v="4.0537000000000001"/>
    <n v="35153"/>
    <s v="Delayed"/>
  </r>
  <r>
    <x v="9"/>
    <n v="4.0960999999999999"/>
    <n v="104399"/>
    <s v="Delayed"/>
  </r>
  <r>
    <x v="10"/>
    <n v="4.0827"/>
    <n v="108489"/>
    <s v="Delayed"/>
  </r>
  <r>
    <x v="6"/>
    <n v="4.1001000000000003"/>
    <n v="16793"/>
    <s v="On Time"/>
  </r>
  <r>
    <x v="9"/>
    <n v="4.0652999999999997"/>
    <n v="36956"/>
    <s v="On Time"/>
  </r>
  <r>
    <x v="11"/>
    <n v="4.0586000000000002"/>
    <n v="23932"/>
    <s v="On Time"/>
  </r>
  <r>
    <x v="2"/>
    <n v="4.12"/>
    <n v="47376"/>
    <s v="On Time"/>
  </r>
  <r>
    <x v="12"/>
    <n v="4.0873999999999997"/>
    <n v="33469"/>
    <s v="Delayed"/>
  </r>
  <r>
    <x v="13"/>
    <n v="4.1101000000000001"/>
    <n v="60190"/>
    <s v="Delayed"/>
  </r>
  <r>
    <x v="0"/>
    <n v="4.0815000000000001"/>
    <n v="45549"/>
    <s v="On Time"/>
  </r>
  <r>
    <x v="14"/>
    <n v="4.1524999999999999"/>
    <n v="5031"/>
    <s v="Delayed"/>
  </r>
  <r>
    <x v="10"/>
    <n v="4.0541999999999998"/>
    <n v="38125"/>
    <s v="On Time"/>
  </r>
  <r>
    <x v="15"/>
    <n v="4.1981999999999999"/>
    <n v="3274"/>
    <s v="Delayed"/>
  </r>
  <r>
    <x v="16"/>
    <n v="4.3060999999999998"/>
    <n v="990"/>
    <s v="Delayed"/>
  </r>
  <r>
    <x v="17"/>
    <n v="4.4496000000000002"/>
    <n v="1210"/>
    <s v="On Time"/>
  </r>
  <r>
    <x v="18"/>
    <n v="4.0353000000000003"/>
    <n v="12827"/>
    <s v="Delayed"/>
  </r>
  <r>
    <x v="11"/>
    <n v="4.0675999999999997"/>
    <n v="69522"/>
    <s v="Delayed"/>
  </r>
  <r>
    <x v="19"/>
    <n v="4.0799000000000003"/>
    <n v="42774"/>
    <s v="Delayed"/>
  </r>
  <r>
    <x v="3"/>
    <n v="4.0423999999999998"/>
    <n v="27602"/>
    <s v="On Time"/>
  </r>
  <r>
    <x v="4"/>
    <n v="4.1319999999999997"/>
    <n v="9540"/>
    <s v="On Time"/>
  </r>
  <r>
    <x v="20"/>
    <n v="4.1326999999999998"/>
    <n v="16548"/>
    <s v="On Time"/>
  </r>
  <r>
    <x v="7"/>
    <n v="4.0857999999999999"/>
    <n v="23544"/>
    <s v="On Time"/>
  </r>
  <r>
    <x v="21"/>
    <n v="4.12"/>
    <n v="27168"/>
    <s v="On Time"/>
  </r>
  <r>
    <x v="22"/>
    <n v="4.0556000000000001"/>
    <n v="8279"/>
    <s v="Delayed"/>
  </r>
  <r>
    <x v="23"/>
    <n v="4.1253000000000002"/>
    <n v="3991"/>
    <s v="Delayed"/>
  </r>
  <r>
    <x v="24"/>
    <n v="3.9750999999999999"/>
    <n v="5260"/>
    <s v="Delayed"/>
  </r>
  <r>
    <x v="8"/>
    <n v="4.0552000000000001"/>
    <n v="12322"/>
    <s v="On Time"/>
  </r>
  <r>
    <x v="21"/>
    <n v="4.1056999999999997"/>
    <n v="76165"/>
    <s v="Delayed"/>
  </r>
  <r>
    <x v="25"/>
    <n v="4.2698999999999998"/>
    <n v="1404"/>
    <s v="Delayed"/>
  </r>
  <r>
    <x v="26"/>
    <n v="4.1719999999999997"/>
    <n v="5797"/>
    <s v="Delayed"/>
  </r>
  <r>
    <x v="27"/>
    <n v="4.1439000000000004"/>
    <n v="18512"/>
    <s v="Delayed"/>
  </r>
  <r>
    <x v="20"/>
    <n v="4.0313999999999997"/>
    <n v="44841"/>
    <s v="Delayed"/>
  </r>
  <r>
    <x v="13"/>
    <n v="4.0884999999999998"/>
    <n v="20126"/>
    <s v="On Time"/>
  </r>
  <r>
    <x v="12"/>
    <n v="4.1016000000000004"/>
    <n v="10567"/>
    <s v="On Time"/>
  </r>
  <r>
    <x v="28"/>
    <n v="4.2282000000000002"/>
    <n v="1867"/>
    <s v="Delayed"/>
  </r>
  <r>
    <x v="29"/>
    <n v="4.1314000000000002"/>
    <n v="3781"/>
    <s v="Delayed"/>
  </r>
  <r>
    <x v="30"/>
    <n v="4.0533999999999999"/>
    <n v="3989"/>
    <s v="Delayed"/>
  </r>
  <r>
    <x v="1"/>
    <n v="4.0679999999999996"/>
    <n v="25747"/>
    <s v="On Time"/>
  </r>
  <r>
    <x v="31"/>
    <n v="4.1012000000000004"/>
    <n v="16099"/>
    <s v="Delayed"/>
  </r>
  <r>
    <x v="32"/>
    <n v="4.1820000000000004"/>
    <n v="533"/>
    <s v="On Time"/>
  </r>
  <r>
    <x v="33"/>
    <n v="4.0361000000000002"/>
    <n v="5543"/>
    <s v="Delayed"/>
  </r>
  <r>
    <x v="34"/>
    <n v="3.992"/>
    <n v="3729"/>
    <s v="Delayed"/>
  </r>
  <r>
    <x v="35"/>
    <n v="4.1166"/>
    <n v="2762"/>
    <s v="Delayed"/>
  </r>
  <r>
    <x v="25"/>
    <n v="4.5484999999999998"/>
    <n v="412"/>
    <s v="On Time"/>
  </r>
  <r>
    <x v="36"/>
    <n v="4.1292999999999997"/>
    <n v="19560"/>
    <s v="Delayed"/>
  </r>
  <r>
    <x v="37"/>
    <n v="3.7648000000000001"/>
    <n v="1135"/>
    <s v="On Time"/>
  </r>
  <r>
    <x v="19"/>
    <n v="4.1233000000000004"/>
    <n v="15197"/>
    <s v="On Time"/>
  </r>
  <r>
    <x v="38"/>
    <n v="3.9964"/>
    <n v="555"/>
    <s v="On Time"/>
  </r>
  <r>
    <x v="17"/>
    <n v="3.8409"/>
    <n v="3903"/>
    <s v="Delayed"/>
  </r>
  <r>
    <x v="33"/>
    <n v="3.9371"/>
    <n v="1685"/>
    <s v="On Time"/>
  </r>
  <r>
    <x v="39"/>
    <n v="4.0560999999999998"/>
    <n v="18811"/>
    <s v="Delayed"/>
  </r>
  <r>
    <x v="40"/>
    <n v="4.2203999999999997"/>
    <n v="363"/>
    <s v="Delayed"/>
  </r>
  <r>
    <x v="41"/>
    <n v="4.1254999999999997"/>
    <n v="3999"/>
    <s v="On Time"/>
  </r>
  <r>
    <x v="42"/>
    <n v="4.2727000000000004"/>
    <n v="176"/>
    <s v="On Time"/>
  </r>
  <r>
    <x v="39"/>
    <n v="4.08"/>
    <n v="6841"/>
    <s v="On Time"/>
  </r>
  <r>
    <x v="5"/>
    <n v="4.2823000000000002"/>
    <n v="5530"/>
    <s v="On Time"/>
  </r>
  <r>
    <x v="31"/>
    <n v="3.9946000000000002"/>
    <n v="5015"/>
    <s v="On Time"/>
  </r>
  <r>
    <x v="43"/>
    <n v="4.1382000000000003"/>
    <n v="1136"/>
    <s v="Delayed"/>
  </r>
  <r>
    <x v="38"/>
    <n v="4.1032999999999999"/>
    <n v="1403"/>
    <s v="Delayed"/>
  </r>
  <r>
    <x v="28"/>
    <n v="4.1837"/>
    <n v="784"/>
    <s v="On Time"/>
  </r>
  <r>
    <x v="44"/>
    <n v="4.1277999999999997"/>
    <n v="10952"/>
    <s v="Delayed"/>
  </r>
  <r>
    <x v="18"/>
    <n v="3.9882"/>
    <n v="4676"/>
    <s v="On Time"/>
  </r>
  <r>
    <x v="15"/>
    <n v="4.0053000000000001"/>
    <n v="749"/>
    <s v="On Time"/>
  </r>
  <r>
    <x v="45"/>
    <n v="4.1420000000000003"/>
    <n v="979"/>
    <s v="Delayed"/>
  </r>
  <r>
    <x v="46"/>
    <n v="4.2191999999999998"/>
    <n v="4936"/>
    <s v="Delayed"/>
  </r>
  <r>
    <x v="47"/>
    <n v="4.2614999999999998"/>
    <n v="1151"/>
    <s v="On Time"/>
  </r>
  <r>
    <x v="48"/>
    <n v="4.1051000000000002"/>
    <n v="5795"/>
    <s v="Delayed"/>
  </r>
  <r>
    <x v="41"/>
    <n v="4.0548000000000002"/>
    <n v="10423"/>
    <s v="Delayed"/>
  </r>
  <r>
    <x v="27"/>
    <n v="4.0298999999999996"/>
    <n v="6316"/>
    <s v="On Time"/>
  </r>
  <r>
    <x v="36"/>
    <n v="3.9931000000000001"/>
    <n v="7096"/>
    <s v="On Time"/>
  </r>
  <r>
    <x v="49"/>
    <n v="4.0252999999999997"/>
    <n v="3166"/>
    <s v="Delayed"/>
  </r>
  <r>
    <x v="37"/>
    <n v="4.1955"/>
    <n v="3115"/>
    <s v="Delayed"/>
  </r>
  <r>
    <x v="32"/>
    <n v="4.2167000000000003"/>
    <n v="2617"/>
    <s v="Delayed"/>
  </r>
  <r>
    <x v="23"/>
    <n v="3.9554999999999998"/>
    <n v="1370"/>
    <s v="On Time"/>
  </r>
  <r>
    <x v="50"/>
    <n v="4.0503999999999998"/>
    <n v="4206"/>
    <s v="Delayed"/>
  </r>
  <r>
    <x v="16"/>
    <n v="4.3159999999999998"/>
    <n v="307"/>
    <s v="On Time"/>
  </r>
  <r>
    <x v="14"/>
    <n v="4.1706000000000003"/>
    <n v="1706"/>
    <s v="On Time"/>
  </r>
  <r>
    <x v="30"/>
    <n v="4.1856"/>
    <n v="1487"/>
    <s v="On Time"/>
  </r>
  <r>
    <x v="22"/>
    <n v="3.9864000000000002"/>
    <n v="2788"/>
    <s v="On Time"/>
  </r>
  <r>
    <x v="51"/>
    <n v="4.1177999999999999"/>
    <n v="1375"/>
    <s v="On Time"/>
  </r>
  <r>
    <x v="50"/>
    <n v="3.9986000000000002"/>
    <n v="1443"/>
    <s v="On Time"/>
  </r>
  <r>
    <x v="35"/>
    <n v="4.0772000000000004"/>
    <n v="894"/>
    <s v="On Time"/>
  </r>
  <r>
    <x v="26"/>
    <n v="4.0698999999999996"/>
    <n v="2319"/>
    <s v="On Time"/>
  </r>
  <r>
    <x v="51"/>
    <n v="3.9874999999999998"/>
    <n v="3683"/>
    <s v="Delayed"/>
  </r>
  <r>
    <x v="47"/>
    <n v="4.0213000000000001"/>
    <n v="3383"/>
    <s v="Delayed"/>
  </r>
  <r>
    <x v="52"/>
    <n v="4.3113000000000001"/>
    <n v="379"/>
    <s v="Delayed"/>
  </r>
  <r>
    <x v="53"/>
    <n v="4.0819000000000001"/>
    <n v="1551"/>
    <s v="Delayed"/>
  </r>
  <r>
    <x v="49"/>
    <n v="4.2424999999999997"/>
    <n v="1270"/>
    <s v="On Time"/>
  </r>
  <r>
    <x v="54"/>
    <n v="4.0861000000000001"/>
    <n v="418"/>
    <s v="Delayed"/>
  </r>
  <r>
    <x v="55"/>
    <n v="4.2015000000000002"/>
    <n v="4595"/>
    <s v="Delayed"/>
  </r>
  <r>
    <x v="56"/>
    <n v="3.8967000000000001"/>
    <n v="523"/>
    <s v="Delayed"/>
  </r>
  <r>
    <x v="57"/>
    <n v="3.3346"/>
    <n v="257"/>
    <s v="On Time"/>
  </r>
  <r>
    <x v="58"/>
    <n v="3.9028"/>
    <n v="761"/>
    <s v="On Time"/>
  </r>
  <r>
    <x v="48"/>
    <n v="4.2089999999999996"/>
    <n v="2340"/>
    <s v="On Time"/>
  </r>
  <r>
    <x v="59"/>
    <n v="3.9129"/>
    <n v="1815"/>
    <s v="Delayed"/>
  </r>
  <r>
    <x v="60"/>
    <n v="4.2352999999999996"/>
    <n v="799"/>
    <s v="Delayed"/>
  </r>
  <r>
    <x v="40"/>
    <n v="4.0328999999999997"/>
    <n v="152"/>
    <s v="On Time"/>
  </r>
  <r>
    <x v="46"/>
    <n v="4.1307999999999998"/>
    <n v="1782"/>
    <s v="On Time"/>
  </r>
  <r>
    <x v="58"/>
    <n v="4.1603000000000003"/>
    <n v="2115"/>
    <s v="Delayed"/>
  </r>
  <r>
    <x v="53"/>
    <n v="3.9420000000000002"/>
    <n v="379"/>
    <s v="On Time"/>
  </r>
  <r>
    <x v="42"/>
    <n v="4.2161"/>
    <n v="671"/>
    <s v="Delayed"/>
  </r>
  <r>
    <x v="24"/>
    <n v="4.0618999999999996"/>
    <n v="1808"/>
    <s v="On Time"/>
  </r>
  <r>
    <x v="44"/>
    <n v="4.0541999999999998"/>
    <n v="4004"/>
    <s v="On Time"/>
  </r>
  <r>
    <x v="61"/>
    <n v="3.8464999999999998"/>
    <n v="1264"/>
    <s v="Delayed"/>
  </r>
  <r>
    <x v="62"/>
    <n v="4.7930999999999999"/>
    <n v="29"/>
    <s v="Delayed"/>
  </r>
  <r>
    <x v="29"/>
    <n v="4.3243999999999998"/>
    <n v="1042"/>
    <s v="On Time"/>
  </r>
  <r>
    <x v="59"/>
    <n v="4.0018000000000002"/>
    <n v="544"/>
    <s v="On Time"/>
  </r>
  <r>
    <x v="55"/>
    <n v="4.1615000000000002"/>
    <n v="1381"/>
    <s v="On Time"/>
  </r>
  <r>
    <x v="34"/>
    <n v="4.0739000000000001"/>
    <n v="1393"/>
    <s v="On Time"/>
  </r>
  <r>
    <x v="63"/>
    <n v="4.3933999999999997"/>
    <n v="361"/>
    <s v="On Time"/>
  </r>
  <r>
    <x v="64"/>
    <n v="3.8711000000000002"/>
    <n v="388"/>
    <s v="Delayed"/>
  </r>
  <r>
    <x v="65"/>
    <n v="4.1234999999999999"/>
    <n v="162"/>
    <s v="Delayed"/>
  </r>
  <r>
    <x v="64"/>
    <n v="3.6042999999999998"/>
    <n v="230"/>
    <s v="On Time"/>
  </r>
  <r>
    <x v="61"/>
    <n v="4.2724000000000002"/>
    <n v="492"/>
    <s v="On Time"/>
  </r>
  <r>
    <x v="63"/>
    <n v="3.9455"/>
    <n v="770"/>
    <s v="Delayed"/>
  </r>
  <r>
    <x v="66"/>
    <n v="4.0610999999999997"/>
    <n v="360"/>
    <s v="Delayed"/>
  </r>
  <r>
    <x v="43"/>
    <n v="3.6358999999999999"/>
    <n v="401"/>
    <s v="On Time"/>
  </r>
  <r>
    <x v="67"/>
    <n v="4.3388"/>
    <n v="121"/>
    <s v="On Time"/>
  </r>
  <r>
    <x v="57"/>
    <n v="4.3182"/>
    <n v="462"/>
    <s v="Delayed"/>
  </r>
  <r>
    <x v="60"/>
    <n v="4.3216000000000001"/>
    <n v="454"/>
    <s v="On Time"/>
  </r>
  <r>
    <x v="62"/>
    <n v="5"/>
    <n v="22"/>
    <s v="On Time"/>
  </r>
  <r>
    <x v="66"/>
    <n v="4.2847"/>
    <n v="137"/>
    <s v="On Time"/>
  </r>
  <r>
    <x v="56"/>
    <n v="4.0510000000000002"/>
    <n v="196"/>
    <s v="On Time"/>
  </r>
  <r>
    <x v="68"/>
    <n v="4.7971000000000004"/>
    <n v="69"/>
    <s v="Delayed"/>
  </r>
  <r>
    <x v="52"/>
    <n v="3.9043000000000001"/>
    <n v="115"/>
    <s v="On Time"/>
  </r>
  <r>
    <x v="69"/>
    <n v="4.0328999999999997"/>
    <n v="304"/>
    <s v="Delayed"/>
  </r>
  <r>
    <x v="67"/>
    <n v="4.3746"/>
    <n v="315"/>
    <s v="Delayed"/>
  </r>
  <r>
    <x v="45"/>
    <n v="4.0758999999999999"/>
    <n v="369"/>
    <s v="On Time"/>
  </r>
  <r>
    <x v="54"/>
    <n v="3.5705"/>
    <n v="156"/>
    <s v="On Time"/>
  </r>
  <r>
    <x v="69"/>
    <n v="4.1139000000000001"/>
    <n v="158"/>
    <s v="On Time"/>
  </r>
  <r>
    <x v="65"/>
    <n v="5"/>
    <n v="30"/>
    <s v="On Time"/>
  </r>
  <r>
    <x v="68"/>
    <n v="5"/>
    <n v="13"/>
    <s v="On Time"/>
  </r>
  <r>
    <x v="70"/>
    <n v="3.4737"/>
    <n v="19"/>
    <s v="On Time"/>
  </r>
  <r>
    <x v="70"/>
    <n v="3.8780000000000001"/>
    <n v="41"/>
    <s v="Del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F3810-5B8B-4D16-8469-0E941381A7DC}" name="PivotTable2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F3:H69" firstHeaderRow="0" firstDataRow="1" firstDataCol="1"/>
  <pivotFields count="4">
    <pivotField axis="axisRow" showAll="0">
      <items count="72">
        <item x="34"/>
        <item x="26"/>
        <item x="28"/>
        <item x="64"/>
        <item x="69"/>
        <item x="11"/>
        <item h="1" x="19"/>
        <item h="1" x="2"/>
        <item h="1" x="39"/>
        <item h="1" x="35"/>
        <item x="44"/>
        <item x="70"/>
        <item x="15"/>
        <item x="25"/>
        <item x="67"/>
        <item x="36"/>
        <item h="1" x="29"/>
        <item x="27"/>
        <item x="17"/>
        <item x="30"/>
        <item x="8"/>
        <item x="50"/>
        <item x="53"/>
        <item x="40"/>
        <item x="49"/>
        <item x="32"/>
        <item x="48"/>
        <item x="38"/>
        <item x="1"/>
        <item x="57"/>
        <item x="22"/>
        <item x="5"/>
        <item x="59"/>
        <item x="14"/>
        <item x="24"/>
        <item x="42"/>
        <item x="23"/>
        <item x="46"/>
        <item x="52"/>
        <item x="4"/>
        <item x="45"/>
        <item x="65"/>
        <item x="12"/>
        <item x="10"/>
        <item x="51"/>
        <item x="61"/>
        <item x="68"/>
        <item x="16"/>
        <item x="58"/>
        <item x="9"/>
        <item x="47"/>
        <item x="60"/>
        <item x="54"/>
        <item x="31"/>
        <item x="33"/>
        <item x="43"/>
        <item x="18"/>
        <item x="55"/>
        <item x="63"/>
        <item x="3"/>
        <item x="20"/>
        <item x="62"/>
        <item x="37"/>
        <item x="41"/>
        <item h="1" x="66"/>
        <item x="0"/>
        <item x="21"/>
        <item x="56"/>
        <item x="6"/>
        <item x="7"/>
        <item x="13"/>
        <item t="default"/>
      </items>
    </pivotField>
    <pivotField dataField="1" showAll="0"/>
    <pivotField dataField="1" showAll="0"/>
    <pivotField showAll="0"/>
  </pivotFields>
  <rowFields count="1">
    <field x="0"/>
  </rowFields>
  <rowItems count="66">
    <i>
      <x/>
    </i>
    <i>
      <x v="1"/>
    </i>
    <i>
      <x v="2"/>
    </i>
    <i>
      <x v="3"/>
    </i>
    <i>
      <x v="4"/>
    </i>
    <i>
      <x v="5"/>
    </i>
    <i>
      <x v="10"/>
    </i>
    <i>
      <x v="11"/>
    </i>
    <i>
      <x v="12"/>
    </i>
    <i>
      <x v="13"/>
    </i>
    <i>
      <x v="14"/>
    </i>
    <i>
      <x v="15"/>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5"/>
    </i>
    <i>
      <x v="66"/>
    </i>
    <i>
      <x v="67"/>
    </i>
    <i>
      <x v="68"/>
    </i>
    <i>
      <x v="69"/>
    </i>
    <i>
      <x v="70"/>
    </i>
    <i t="grand">
      <x/>
    </i>
  </rowItems>
  <colFields count="1">
    <field x="-2"/>
  </colFields>
  <colItems count="2">
    <i>
      <x/>
    </i>
    <i i="1">
      <x v="1"/>
    </i>
  </colItems>
  <dataFields count="2">
    <dataField name="Sum of Total_Reviews" fld="2" baseField="0" baseItem="0"/>
    <dataField name="Sum of Average_Review_Score"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EE7047-933E-4798-9FC5-A1AFDA113E73}"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18:H22" firstHeaderRow="1" firstDataRow="1" firstDataCol="1"/>
  <pivotFields count="5">
    <pivotField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4">
    <i>
      <x/>
    </i>
    <i>
      <x v="2"/>
    </i>
    <i>
      <x v="1"/>
    </i>
    <i t="grand">
      <x/>
    </i>
  </rowItems>
  <colItems count="1">
    <i/>
  </colItems>
  <dataFields count="1">
    <dataField name="Sum of Total_Customers" fld="3"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28229-851C-4C4E-B201-25F265A16B68}"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2:J14" firstHeaderRow="1" firstDataRow="2" firstDataCol="1"/>
  <pivotFields count="5">
    <pivotField axis="axisRow" showAll="0" measureFilter="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showAll="0">
      <items count="4">
        <item x="0"/>
        <item x="1"/>
        <item x="2"/>
        <item t="default"/>
      </items>
    </pivotField>
    <pivotField axis="axisCol" showAll="0">
      <items count="3">
        <item x="0"/>
        <item x="1"/>
        <item t="default"/>
      </items>
    </pivotField>
    <pivotField dataField="1" showAll="0"/>
    <pivotField showAll="0"/>
  </pivotFields>
  <rowFields count="1">
    <field x="0"/>
  </rowFields>
  <rowItems count="11">
    <i>
      <x v="5"/>
    </i>
    <i>
      <x v="7"/>
    </i>
    <i>
      <x v="28"/>
    </i>
    <i>
      <x v="43"/>
    </i>
    <i>
      <x v="49"/>
    </i>
    <i>
      <x v="59"/>
    </i>
    <i>
      <x v="65"/>
    </i>
    <i>
      <x v="66"/>
    </i>
    <i>
      <x v="69"/>
    </i>
    <i>
      <x v="70"/>
    </i>
    <i t="grand">
      <x/>
    </i>
  </rowItems>
  <colFields count="1">
    <field x="2"/>
  </colFields>
  <colItems count="3">
    <i>
      <x/>
    </i>
    <i>
      <x v="1"/>
    </i>
    <i t="grand">
      <x/>
    </i>
  </colItems>
  <dataFields count="1">
    <dataField name="Sum of Total_Customers" fld="3" baseField="0" baseItem="0"/>
  </dataFields>
  <chartFormats count="6">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7394C0-051C-4773-9CB9-22136F5EE37B}"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1:H104" firstHeaderRow="0" firstDataRow="1" firstDataCol="1"/>
  <pivotFields count="4">
    <pivotField axis="axisRow" showAll="0">
      <items count="7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t="default"/>
      </items>
    </pivotField>
    <pivotField showAll="0"/>
    <pivotField dataField="1" showAll="0"/>
    <pivotField dataField="1" showAll="0"/>
  </pivotFields>
  <rowFields count="1">
    <field x="0"/>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Fields count="1">
    <field x="-2"/>
  </colFields>
  <colItems count="2">
    <i>
      <x/>
    </i>
    <i i="1">
      <x v="1"/>
    </i>
  </colItems>
  <dataFields count="2">
    <dataField name="Sum of Total_Revenue" fld="2" baseField="0" baseItem="0"/>
    <dataField name="Sum of Average_Order_Value"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4A3A39-E3ED-4D25-A415-671B014B64D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F3:G14" firstHeaderRow="1" firstDataRow="1" firstDataCol="1"/>
  <pivotFields count="4">
    <pivotField axis="axisRow" showAll="0" measureFilter="1">
      <items count="7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t="default"/>
      </items>
    </pivotField>
    <pivotField showAll="0"/>
    <pivotField dataField="1" showAll="0"/>
    <pivotField showAll="0"/>
  </pivotFields>
  <rowFields count="1">
    <field x="0"/>
  </rowFields>
  <rowItems count="11">
    <i>
      <x v="5"/>
    </i>
    <i>
      <x v="7"/>
    </i>
    <i>
      <x v="15"/>
    </i>
    <i>
      <x v="39"/>
    </i>
    <i>
      <x v="43"/>
    </i>
    <i>
      <x v="49"/>
    </i>
    <i>
      <x v="65"/>
    </i>
    <i>
      <x v="68"/>
    </i>
    <i>
      <x v="69"/>
    </i>
    <i>
      <x v="70"/>
    </i>
    <i t="grand">
      <x/>
    </i>
  </rowItems>
  <colItems count="1">
    <i/>
  </colItems>
  <dataFields count="1">
    <dataField name="Sum of Total_Revenue" fld="2"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78CD29D4-422A-4A82-A196-CA71613A0B12}" autoFormatId="16" applyNumberFormats="0" applyBorderFormats="0" applyFontFormats="0" applyPatternFormats="0" applyAlignmentFormats="0" applyWidthHeightFormats="0">
  <queryTableRefresh nextId="5">
    <queryTableFields count="4">
      <queryTableField id="1" name="Category_name" tableColumnId="1"/>
      <queryTableField id="2" name="Average_Review_Score" tableColumnId="2"/>
      <queryTableField id="3" name="Total_Reviews" tableColumnId="3"/>
      <queryTableField id="4" name="Delivery_Statu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19AEA60F-166F-4684-8ADF-DEEB44E34237}" autoFormatId="16" applyNumberFormats="0" applyBorderFormats="0" applyFontFormats="0" applyPatternFormats="0" applyAlignmentFormats="0" applyWidthHeightFormats="0">
  <queryTableRefresh nextId="6">
    <queryTableFields count="5">
      <queryTableField id="1" name="Category_name" tableColumnId="1"/>
      <queryTableField id="2" name="customer_segment" tableColumnId="2"/>
      <queryTableField id="3" name="Repeat_Buyer" tableColumnId="3"/>
      <queryTableField id="4" name="Total_Customers" tableColumnId="4"/>
      <queryTableField id="5" name="Average_Purchase_Frequency"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9ED1D3D-8705-4408-828F-AAB7FA5D29C4}" autoFormatId="16" applyNumberFormats="0" applyBorderFormats="0" applyFontFormats="0" applyPatternFormats="0" applyAlignmentFormats="0" applyWidthHeightFormats="0">
  <queryTableRefresh nextId="5">
    <queryTableFields count="4">
      <queryTableField id="1" name="Category_name" tableColumnId="1"/>
      <queryTableField id="2" name="Total_Orders" tableColumnId="2"/>
      <queryTableField id="3" name="Total_Revenue" tableColumnId="3"/>
      <queryTableField id="4" name="Average_Order_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011C0EA-6CB9-4F4A-9C24-FEB55F826852}" sourceName="customer_segment">
  <pivotTables>
    <pivotTable tabId="9" name="PivotTable3"/>
    <pivotTable tabId="9" name="PivotTable4"/>
  </pivotTables>
  <data>
    <tabular pivotCacheId="162602969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eat_Buyer" xr10:uid="{304DAEE8-9753-4E1F-B91B-A9F4B9DE1AA7}" sourceName="Repeat_Buyer">
  <pivotTables>
    <pivotTable tabId="9" name="PivotTable3"/>
  </pivotTables>
  <data>
    <tabular pivotCacheId="162602969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D795F2BA-2443-4178-852B-8A924CBBACB0}" sourceName="Category_name">
  <pivotTables>
    <pivotTable tabId="8" name="PivotTable21"/>
  </pivotTables>
  <data>
    <tabular pivotCacheId="1542624275">
      <items count="71">
        <i x="34" s="1"/>
        <i x="26" s="1"/>
        <i x="28" s="1"/>
        <i x="64" s="1"/>
        <i x="69" s="1"/>
        <i x="11" s="1"/>
        <i x="19"/>
        <i x="2"/>
        <i x="39"/>
        <i x="35"/>
        <i x="44" s="1"/>
        <i x="70" s="1"/>
        <i x="15" s="1"/>
        <i x="25" s="1"/>
        <i x="67" s="1"/>
        <i x="36" s="1"/>
        <i x="29"/>
        <i x="27" s="1"/>
        <i x="17" s="1"/>
        <i x="30" s="1"/>
        <i x="8" s="1"/>
        <i x="50" s="1"/>
        <i x="53" s="1"/>
        <i x="40" s="1"/>
        <i x="49" s="1"/>
        <i x="32" s="1"/>
        <i x="48" s="1"/>
        <i x="38" s="1"/>
        <i x="1" s="1"/>
        <i x="57" s="1"/>
        <i x="22" s="1"/>
        <i x="5" s="1"/>
        <i x="59" s="1"/>
        <i x="14" s="1"/>
        <i x="24" s="1"/>
        <i x="42" s="1"/>
        <i x="23" s="1"/>
        <i x="46" s="1"/>
        <i x="52" s="1"/>
        <i x="4" s="1"/>
        <i x="45" s="1"/>
        <i x="65" s="1"/>
        <i x="12" s="1"/>
        <i x="10" s="1"/>
        <i x="51" s="1"/>
        <i x="61" s="1"/>
        <i x="68" s="1"/>
        <i x="16" s="1"/>
        <i x="58" s="1"/>
        <i x="9" s="1"/>
        <i x="47" s="1"/>
        <i x="60" s="1"/>
        <i x="54" s="1"/>
        <i x="31" s="1"/>
        <i x="33" s="1"/>
        <i x="43" s="1"/>
        <i x="18" s="1"/>
        <i x="55" s="1"/>
        <i x="63" s="1"/>
        <i x="3" s="1"/>
        <i x="20" s="1"/>
        <i x="62" s="1"/>
        <i x="37" s="1"/>
        <i x="41" s="1"/>
        <i x="66"/>
        <i x="0" s="1"/>
        <i x="21" s="1"/>
        <i x="56" s="1"/>
        <i x="6" s="1"/>
        <i x="7"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A10585A-0B7D-4689-8FC6-C097AA07EDFE}" cache="Slicer_customer_segment" caption="customer_segment" rowHeight="241300"/>
  <slicer name="Repeat_Buyer" xr10:uid="{9319A309-F138-492C-AB5C-11AC64B663EA}" cache="Slicer_Repeat_Buyer" caption="Repeat_Buyer" rowHeight="241300"/>
  <slicer name="Category_name" xr10:uid="{034BC956-DCA1-4718-A432-C4C02F34F91B}" cache="Slicer_Category_name" caption="Category_name" startItem="2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F41A25-2F29-4A9B-8619-FCFD4FA1BE26}" name="retailtech_customer_satisfaction" displayName="retailtech_customer_satisfaction" ref="A1:D143" tableType="queryTable" totalsRowShown="0">
  <autoFilter ref="A1:D143" xr:uid="{09434BBB-F9B1-4360-A7A4-73D51090630C}"/>
  <tableColumns count="4">
    <tableColumn id="1" xr3:uid="{BC12706B-737F-4ACC-92AB-C69BA1BC22C3}" uniqueName="1" name="Category_name" queryTableFieldId="1"/>
    <tableColumn id="2" xr3:uid="{E0176119-0EFC-43C7-BC84-18DCCCBE10F5}" uniqueName="2" name="Average_Review_Score" queryTableFieldId="2"/>
    <tableColumn id="3" xr3:uid="{4382162B-681A-4E56-B484-615B38E3E638}" uniqueName="3" name="Total_Reviews" queryTableFieldId="3"/>
    <tableColumn id="4" xr3:uid="{7E69A8A2-25BD-4E5F-9E50-4054D822A0D4}" uniqueName="4" name="Delivery_Status"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8F6D48-7106-43FA-9E4E-037944EBAA97}" name="retailtech_vw_customer_retention" displayName="retailtech_vw_customer_retention" ref="A1:E418" tableType="queryTable" totalsRowShown="0">
  <autoFilter ref="A1:E418" xr:uid="{16F0D483-44F1-4E47-9C41-77EDE775901D}"/>
  <tableColumns count="5">
    <tableColumn id="1" xr3:uid="{49E6A689-FCD8-44B2-AEB5-F35CCD8DD7C7}" uniqueName="1" name="Category_name" queryTableFieldId="1"/>
    <tableColumn id="2" xr3:uid="{5DCD441E-4F8A-4F6E-85DB-9D38BA53B76D}" uniqueName="2" name="customer_segment" queryTableFieldId="2"/>
    <tableColumn id="3" xr3:uid="{538E59CD-FB4C-4FB6-A891-4C796EC375EB}" uniqueName="3" name="Repeat_Buyer" queryTableFieldId="3"/>
    <tableColumn id="4" xr3:uid="{53B54F88-CBF4-4B44-9A0B-B031801A0918}" uniqueName="4" name="Total_Customers" queryTableFieldId="4"/>
    <tableColumn id="5" xr3:uid="{D56590E3-C030-4EC5-BE9C-81CC50E7AB07}" uniqueName="5" name="Average_Purchase_Frequency"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B4134D-8185-472C-9963-46323A0D31E6}" name="retailtech_sales_summary" displayName="retailtech_sales_summary" ref="A1:D73" tableType="queryTable" totalsRowShown="0">
  <autoFilter ref="A1:D73" xr:uid="{3328482E-8C19-425D-91BA-8CBF20D7417C}"/>
  <tableColumns count="4">
    <tableColumn id="1" xr3:uid="{91C577CE-3A69-4CC5-B35D-59212B0BADF0}" uniqueName="1" name="Category_name" queryTableFieldId="1"/>
    <tableColumn id="2" xr3:uid="{C5352A41-D0E8-4CDF-B808-F18ABA0FA648}" uniqueName="2" name="Total_Orders" queryTableFieldId="2"/>
    <tableColumn id="3" xr3:uid="{1F554B8F-D8A9-4C2E-8205-F7A6C10A4903}" uniqueName="3" name="Total_Revenue" queryTableFieldId="3"/>
    <tableColumn id="4" xr3:uid="{48201B7B-0ACD-462D-8D9E-32E65BDD9813}" uniqueName="4" name="Average_Order_Value"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table" Target="../tables/table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90C9-CA76-471E-A360-028C5A88C750}">
  <sheetPr>
    <tabColor rgb="FFFF66FF"/>
  </sheetPr>
  <dimension ref="A1"/>
  <sheetViews>
    <sheetView showGridLines="0" tabSelected="1" zoomScale="70" zoomScaleNormal="70" workbookViewId="0">
      <selection activeCell="F6" sqref="F6"/>
    </sheetView>
  </sheetViews>
  <sheetFormatPr defaultRowHeight="15" x14ac:dyDescent="0.25"/>
  <cols>
    <col min="1" max="16384" width="9.140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1A59-282E-4B44-991A-BC5424493D72}">
  <sheetPr>
    <tabColor rgb="FFCC66FF"/>
  </sheetPr>
  <dimension ref="A1:H143"/>
  <sheetViews>
    <sheetView topLeftCell="G1" workbookViewId="0">
      <selection activeCell="R25" sqref="R25"/>
    </sheetView>
  </sheetViews>
  <sheetFormatPr defaultRowHeight="15" x14ac:dyDescent="0.25"/>
  <cols>
    <col min="1" max="1" width="41.140625" bestFit="1" customWidth="1"/>
    <col min="2" max="2" width="24.42578125" bestFit="1" customWidth="1"/>
    <col min="3" max="3" width="16.28515625" bestFit="1" customWidth="1"/>
    <col min="4" max="4" width="17.28515625" bestFit="1" customWidth="1"/>
    <col min="6" max="6" width="40.140625" bestFit="1" customWidth="1"/>
    <col min="7" max="7" width="20.7109375" bestFit="1" customWidth="1"/>
    <col min="8" max="8" width="28.85546875" bestFit="1" customWidth="1"/>
  </cols>
  <sheetData>
    <row r="1" spans="1:8" x14ac:dyDescent="0.25">
      <c r="A1" t="s">
        <v>0</v>
      </c>
      <c r="B1" t="s">
        <v>84</v>
      </c>
      <c r="C1" t="s">
        <v>85</v>
      </c>
      <c r="D1" t="s">
        <v>86</v>
      </c>
    </row>
    <row r="2" spans="1:8" x14ac:dyDescent="0.25">
      <c r="A2" t="s">
        <v>69</v>
      </c>
      <c r="B2">
        <v>4.0518000000000001</v>
      </c>
      <c r="C2">
        <v>129853</v>
      </c>
      <c r="D2" t="s">
        <v>87</v>
      </c>
    </row>
    <row r="3" spans="1:8" x14ac:dyDescent="0.25">
      <c r="A3" t="s">
        <v>32</v>
      </c>
      <c r="B3">
        <v>4.1021999999999998</v>
      </c>
      <c r="C3">
        <v>74966</v>
      </c>
      <c r="D3" t="s">
        <v>87</v>
      </c>
      <c r="F3" s="1" t="s">
        <v>89</v>
      </c>
      <c r="G3" t="s">
        <v>97</v>
      </c>
      <c r="H3" t="s">
        <v>96</v>
      </c>
    </row>
    <row r="4" spans="1:8" x14ac:dyDescent="0.25">
      <c r="A4" t="s">
        <v>11</v>
      </c>
      <c r="B4">
        <v>4.0922999999999998</v>
      </c>
      <c r="C4">
        <v>136251</v>
      </c>
      <c r="D4" t="s">
        <v>87</v>
      </c>
      <c r="F4" s="2" t="s">
        <v>4</v>
      </c>
      <c r="G4" s="3">
        <v>5122</v>
      </c>
      <c r="H4" s="3">
        <v>8.0658999999999992</v>
      </c>
    </row>
    <row r="5" spans="1:8" x14ac:dyDescent="0.25">
      <c r="A5" t="s">
        <v>63</v>
      </c>
      <c r="B5">
        <v>4.1128</v>
      </c>
      <c r="C5">
        <v>77258</v>
      </c>
      <c r="D5" t="s">
        <v>87</v>
      </c>
      <c r="F5" s="2" t="s">
        <v>5</v>
      </c>
      <c r="G5" s="3">
        <v>8116</v>
      </c>
      <c r="H5" s="3">
        <v>8.2418999999999993</v>
      </c>
    </row>
    <row r="6" spans="1:8" x14ac:dyDescent="0.25">
      <c r="A6" t="s">
        <v>43</v>
      </c>
      <c r="B6">
        <v>4.0922999999999998</v>
      </c>
      <c r="C6">
        <v>28006</v>
      </c>
      <c r="D6" t="s">
        <v>87</v>
      </c>
      <c r="F6" s="2" t="s">
        <v>6</v>
      </c>
      <c r="G6" s="3">
        <v>2651</v>
      </c>
      <c r="H6" s="3">
        <v>8.4118999999999993</v>
      </c>
    </row>
    <row r="7" spans="1:8" x14ac:dyDescent="0.25">
      <c r="A7" t="s">
        <v>35</v>
      </c>
      <c r="B7">
        <v>4.0431999999999997</v>
      </c>
      <c r="C7">
        <v>16461</v>
      </c>
      <c r="D7" t="s">
        <v>87</v>
      </c>
      <c r="F7" s="2" t="s">
        <v>7</v>
      </c>
      <c r="G7" s="3">
        <v>618</v>
      </c>
      <c r="H7" s="3">
        <v>7.4754000000000005</v>
      </c>
    </row>
    <row r="8" spans="1:8" x14ac:dyDescent="0.25">
      <c r="A8" t="s">
        <v>72</v>
      </c>
      <c r="B8">
        <v>4.0852000000000004</v>
      </c>
      <c r="C8">
        <v>46945</v>
      </c>
      <c r="D8" t="s">
        <v>87</v>
      </c>
      <c r="F8" s="2" t="s">
        <v>8</v>
      </c>
      <c r="G8" s="3">
        <v>462</v>
      </c>
      <c r="H8" s="3">
        <v>8.1467999999999989</v>
      </c>
    </row>
    <row r="9" spans="1:8" x14ac:dyDescent="0.25">
      <c r="A9" t="s">
        <v>73</v>
      </c>
      <c r="B9">
        <v>4.1139999999999999</v>
      </c>
      <c r="C9">
        <v>65304</v>
      </c>
      <c r="D9" t="s">
        <v>87</v>
      </c>
      <c r="F9" s="2" t="s">
        <v>9</v>
      </c>
      <c r="G9" s="3">
        <v>93454</v>
      </c>
      <c r="H9" s="3">
        <v>8.1262000000000008</v>
      </c>
    </row>
    <row r="10" spans="1:8" x14ac:dyDescent="0.25">
      <c r="A10" t="s">
        <v>24</v>
      </c>
      <c r="B10">
        <v>4.0537000000000001</v>
      </c>
      <c r="C10">
        <v>35153</v>
      </c>
      <c r="D10" t="s">
        <v>87</v>
      </c>
      <c r="F10" s="2" t="s">
        <v>14</v>
      </c>
      <c r="G10" s="3">
        <v>14956</v>
      </c>
      <c r="H10" s="3">
        <v>8.1819999999999986</v>
      </c>
    </row>
    <row r="11" spans="1:8" x14ac:dyDescent="0.25">
      <c r="A11" t="s">
        <v>53</v>
      </c>
      <c r="B11">
        <v>4.0960999999999999</v>
      </c>
      <c r="C11">
        <v>104399</v>
      </c>
      <c r="D11" t="s">
        <v>87</v>
      </c>
      <c r="F11" s="2" t="s">
        <v>15</v>
      </c>
      <c r="G11" s="3">
        <v>60</v>
      </c>
      <c r="H11" s="3">
        <v>7.3517000000000001</v>
      </c>
    </row>
    <row r="12" spans="1:8" x14ac:dyDescent="0.25">
      <c r="A12" t="s">
        <v>47</v>
      </c>
      <c r="B12">
        <v>4.0827</v>
      </c>
      <c r="C12">
        <v>108489</v>
      </c>
      <c r="D12" t="s">
        <v>87</v>
      </c>
      <c r="F12" s="2" t="s">
        <v>16</v>
      </c>
      <c r="G12" s="3">
        <v>4023</v>
      </c>
      <c r="H12" s="3">
        <v>8.2035</v>
      </c>
    </row>
    <row r="13" spans="1:8" x14ac:dyDescent="0.25">
      <c r="A13" t="s">
        <v>72</v>
      </c>
      <c r="B13">
        <v>4.1001000000000003</v>
      </c>
      <c r="C13">
        <v>16793</v>
      </c>
      <c r="D13" t="s">
        <v>88</v>
      </c>
      <c r="F13" s="2" t="s">
        <v>17</v>
      </c>
      <c r="G13" s="3">
        <v>1816</v>
      </c>
      <c r="H13" s="3">
        <v>8.8184000000000005</v>
      </c>
    </row>
    <row r="14" spans="1:8" x14ac:dyDescent="0.25">
      <c r="A14" t="s">
        <v>53</v>
      </c>
      <c r="B14">
        <v>4.0652999999999997</v>
      </c>
      <c r="C14">
        <v>36956</v>
      </c>
      <c r="D14" t="s">
        <v>88</v>
      </c>
      <c r="F14" s="2" t="s">
        <v>18</v>
      </c>
      <c r="G14" s="3">
        <v>436</v>
      </c>
      <c r="H14" s="3">
        <v>8.7134</v>
      </c>
    </row>
    <row r="15" spans="1:8" x14ac:dyDescent="0.25">
      <c r="A15" t="s">
        <v>9</v>
      </c>
      <c r="B15">
        <v>4.0586000000000002</v>
      </c>
      <c r="C15">
        <v>23932</v>
      </c>
      <c r="D15" t="s">
        <v>88</v>
      </c>
      <c r="F15" s="2" t="s">
        <v>19</v>
      </c>
      <c r="G15" s="3">
        <v>26656</v>
      </c>
      <c r="H15" s="3">
        <v>8.122399999999999</v>
      </c>
    </row>
    <row r="16" spans="1:8" x14ac:dyDescent="0.25">
      <c r="A16" t="s">
        <v>11</v>
      </c>
      <c r="B16">
        <v>4.12</v>
      </c>
      <c r="C16">
        <v>47376</v>
      </c>
      <c r="D16" t="s">
        <v>88</v>
      </c>
      <c r="F16" s="2" t="s">
        <v>21</v>
      </c>
      <c r="G16" s="3">
        <v>24828</v>
      </c>
      <c r="H16" s="3">
        <v>8.1738</v>
      </c>
    </row>
    <row r="17" spans="1:8" x14ac:dyDescent="0.25">
      <c r="A17" t="s">
        <v>46</v>
      </c>
      <c r="B17">
        <v>4.0873999999999997</v>
      </c>
      <c r="C17">
        <v>33469</v>
      </c>
      <c r="D17" t="s">
        <v>87</v>
      </c>
      <c r="F17" s="2" t="s">
        <v>22</v>
      </c>
      <c r="G17" s="3">
        <v>5113</v>
      </c>
      <c r="H17" s="3">
        <v>8.2904999999999998</v>
      </c>
    </row>
    <row r="18" spans="1:8" x14ac:dyDescent="0.25">
      <c r="A18" t="s">
        <v>74</v>
      </c>
      <c r="B18">
        <v>4.1101000000000001</v>
      </c>
      <c r="C18">
        <v>60190</v>
      </c>
      <c r="D18" t="s">
        <v>87</v>
      </c>
      <c r="F18" s="2" t="s">
        <v>23</v>
      </c>
      <c r="G18" s="3">
        <v>5476</v>
      </c>
      <c r="H18" s="3">
        <v>8.2390000000000008</v>
      </c>
    </row>
    <row r="19" spans="1:8" x14ac:dyDescent="0.25">
      <c r="A19" t="s">
        <v>69</v>
      </c>
      <c r="B19">
        <v>4.0815000000000001</v>
      </c>
      <c r="C19">
        <v>45549</v>
      </c>
      <c r="D19" t="s">
        <v>88</v>
      </c>
      <c r="F19" s="2" t="s">
        <v>24</v>
      </c>
      <c r="G19" s="3">
        <v>47475</v>
      </c>
      <c r="H19" s="3">
        <v>8.1089000000000002</v>
      </c>
    </row>
    <row r="20" spans="1:8" x14ac:dyDescent="0.25">
      <c r="A20" t="s">
        <v>37</v>
      </c>
      <c r="B20">
        <v>4.1524999999999999</v>
      </c>
      <c r="C20">
        <v>5031</v>
      </c>
      <c r="D20" t="s">
        <v>87</v>
      </c>
      <c r="F20" s="2" t="s">
        <v>25</v>
      </c>
      <c r="G20" s="3">
        <v>5649</v>
      </c>
      <c r="H20" s="3">
        <v>8.0489999999999995</v>
      </c>
    </row>
    <row r="21" spans="1:8" x14ac:dyDescent="0.25">
      <c r="A21" t="s">
        <v>47</v>
      </c>
      <c r="B21">
        <v>4.0541999999999998</v>
      </c>
      <c r="C21">
        <v>38125</v>
      </c>
      <c r="D21" t="s">
        <v>88</v>
      </c>
      <c r="F21" s="2" t="s">
        <v>26</v>
      </c>
      <c r="G21" s="3">
        <v>1930</v>
      </c>
      <c r="H21" s="3">
        <v>8.0239000000000011</v>
      </c>
    </row>
    <row r="22" spans="1:8" x14ac:dyDescent="0.25">
      <c r="A22" t="s">
        <v>16</v>
      </c>
      <c r="B22">
        <v>4.1981999999999999</v>
      </c>
      <c r="C22">
        <v>3274</v>
      </c>
      <c r="D22" t="s">
        <v>87</v>
      </c>
      <c r="F22" s="2" t="s">
        <v>27</v>
      </c>
      <c r="G22" s="3">
        <v>515</v>
      </c>
      <c r="H22" s="3">
        <v>8.2532999999999994</v>
      </c>
    </row>
    <row r="23" spans="1:8" x14ac:dyDescent="0.25">
      <c r="A23" t="s">
        <v>51</v>
      </c>
      <c r="B23">
        <v>4.3060999999999998</v>
      </c>
      <c r="C23">
        <v>990</v>
      </c>
      <c r="D23" t="s">
        <v>87</v>
      </c>
      <c r="F23" s="2" t="s">
        <v>28</v>
      </c>
      <c r="G23" s="3">
        <v>4436</v>
      </c>
      <c r="H23" s="3">
        <v>8.2677999999999994</v>
      </c>
    </row>
    <row r="24" spans="1:8" x14ac:dyDescent="0.25">
      <c r="A24" t="s">
        <v>22</v>
      </c>
      <c r="B24">
        <v>4.4496000000000002</v>
      </c>
      <c r="C24">
        <v>1210</v>
      </c>
      <c r="D24" t="s">
        <v>88</v>
      </c>
      <c r="F24" s="2" t="s">
        <v>29</v>
      </c>
      <c r="G24" s="3">
        <v>3150</v>
      </c>
      <c r="H24" s="3">
        <v>8.3987000000000016</v>
      </c>
    </row>
    <row r="25" spans="1:8" x14ac:dyDescent="0.25">
      <c r="A25" t="s">
        <v>60</v>
      </c>
      <c r="B25">
        <v>4.0353000000000003</v>
      </c>
      <c r="C25">
        <v>12827</v>
      </c>
      <c r="D25" t="s">
        <v>87</v>
      </c>
      <c r="F25" s="2" t="s">
        <v>30</v>
      </c>
      <c r="G25" s="3">
        <v>8135</v>
      </c>
      <c r="H25" s="3">
        <v>8.3140999999999998</v>
      </c>
    </row>
    <row r="26" spans="1:8" x14ac:dyDescent="0.25">
      <c r="A26" t="s">
        <v>9</v>
      </c>
      <c r="B26">
        <v>4.0675999999999997</v>
      </c>
      <c r="C26">
        <v>69522</v>
      </c>
      <c r="D26" t="s">
        <v>87</v>
      </c>
      <c r="F26" s="2" t="s">
        <v>31</v>
      </c>
      <c r="G26" s="3">
        <v>1958</v>
      </c>
      <c r="H26" s="3">
        <v>8.0997000000000003</v>
      </c>
    </row>
    <row r="27" spans="1:8" x14ac:dyDescent="0.25">
      <c r="A27" t="s">
        <v>10</v>
      </c>
      <c r="B27">
        <v>4.0799000000000003</v>
      </c>
      <c r="C27">
        <v>42774</v>
      </c>
      <c r="D27" t="s">
        <v>87</v>
      </c>
      <c r="F27" s="2" t="s">
        <v>32</v>
      </c>
      <c r="G27" s="3">
        <v>100713</v>
      </c>
      <c r="H27" s="3">
        <v>8.1701999999999995</v>
      </c>
    </row>
    <row r="28" spans="1:8" x14ac:dyDescent="0.25">
      <c r="A28" t="s">
        <v>63</v>
      </c>
      <c r="B28">
        <v>4.0423999999999998</v>
      </c>
      <c r="C28">
        <v>27602</v>
      </c>
      <c r="D28" t="s">
        <v>88</v>
      </c>
      <c r="F28" s="2" t="s">
        <v>33</v>
      </c>
      <c r="G28" s="3">
        <v>719</v>
      </c>
      <c r="H28" s="3">
        <v>7.6528</v>
      </c>
    </row>
    <row r="29" spans="1:8" x14ac:dyDescent="0.25">
      <c r="A29" t="s">
        <v>43</v>
      </c>
      <c r="B29">
        <v>4.1319999999999997</v>
      </c>
      <c r="C29">
        <v>9540</v>
      </c>
      <c r="D29" t="s">
        <v>88</v>
      </c>
      <c r="F29" s="2" t="s">
        <v>34</v>
      </c>
      <c r="G29" s="3">
        <v>11067</v>
      </c>
      <c r="H29" s="3">
        <v>8.0419999999999998</v>
      </c>
    </row>
    <row r="30" spans="1:8" x14ac:dyDescent="0.25">
      <c r="A30" t="s">
        <v>64</v>
      </c>
      <c r="B30">
        <v>4.1326999999999998</v>
      </c>
      <c r="C30">
        <v>16548</v>
      </c>
      <c r="D30" t="s">
        <v>88</v>
      </c>
      <c r="F30" s="2" t="s">
        <v>35</v>
      </c>
      <c r="G30" s="3">
        <v>21991</v>
      </c>
      <c r="H30" s="3">
        <v>8.3254999999999999</v>
      </c>
    </row>
    <row r="31" spans="1:8" x14ac:dyDescent="0.25">
      <c r="A31" t="s">
        <v>73</v>
      </c>
      <c r="B31">
        <v>4.0857999999999999</v>
      </c>
      <c r="C31">
        <v>23544</v>
      </c>
      <c r="D31" t="s">
        <v>88</v>
      </c>
      <c r="F31" s="2" t="s">
        <v>36</v>
      </c>
      <c r="G31" s="3">
        <v>2359</v>
      </c>
      <c r="H31" s="3">
        <v>7.9146999999999998</v>
      </c>
    </row>
    <row r="32" spans="1:8" x14ac:dyDescent="0.25">
      <c r="A32" t="s">
        <v>70</v>
      </c>
      <c r="B32">
        <v>4.12</v>
      </c>
      <c r="C32">
        <v>27168</v>
      </c>
      <c r="D32" t="s">
        <v>88</v>
      </c>
      <c r="F32" s="2" t="s">
        <v>37</v>
      </c>
      <c r="G32" s="3">
        <v>6737</v>
      </c>
      <c r="H32" s="3">
        <v>8.3231000000000002</v>
      </c>
    </row>
    <row r="33" spans="1:8" x14ac:dyDescent="0.25">
      <c r="A33" t="s">
        <v>34</v>
      </c>
      <c r="B33">
        <v>4.0556000000000001</v>
      </c>
      <c r="C33">
        <v>8279</v>
      </c>
      <c r="D33" t="s">
        <v>87</v>
      </c>
      <c r="F33" s="2" t="s">
        <v>38</v>
      </c>
      <c r="G33" s="3">
        <v>7068</v>
      </c>
      <c r="H33" s="3">
        <v>8.036999999999999</v>
      </c>
    </row>
    <row r="34" spans="1:8" x14ac:dyDescent="0.25">
      <c r="A34" t="s">
        <v>40</v>
      </c>
      <c r="B34">
        <v>4.1253000000000002</v>
      </c>
      <c r="C34">
        <v>3991</v>
      </c>
      <c r="D34" t="s">
        <v>87</v>
      </c>
      <c r="F34" s="2" t="s">
        <v>39</v>
      </c>
      <c r="G34" s="3">
        <v>847</v>
      </c>
      <c r="H34" s="3">
        <v>8.4888000000000012</v>
      </c>
    </row>
    <row r="35" spans="1:8" x14ac:dyDescent="0.25">
      <c r="A35" t="s">
        <v>38</v>
      </c>
      <c r="B35">
        <v>3.9750999999999999</v>
      </c>
      <c r="C35">
        <v>5260</v>
      </c>
      <c r="D35" t="s">
        <v>87</v>
      </c>
      <c r="F35" s="2" t="s">
        <v>40</v>
      </c>
      <c r="G35" s="3">
        <v>5361</v>
      </c>
      <c r="H35" s="3">
        <v>8.0808</v>
      </c>
    </row>
    <row r="36" spans="1:8" x14ac:dyDescent="0.25">
      <c r="A36" t="s">
        <v>24</v>
      </c>
      <c r="B36">
        <v>4.0552000000000001</v>
      </c>
      <c r="C36">
        <v>12322</v>
      </c>
      <c r="D36" t="s">
        <v>88</v>
      </c>
      <c r="F36" s="2" t="s">
        <v>41</v>
      </c>
      <c r="G36" s="3">
        <v>6718</v>
      </c>
      <c r="H36" s="3">
        <v>8.35</v>
      </c>
    </row>
    <row r="37" spans="1:8" x14ac:dyDescent="0.25">
      <c r="A37" t="s">
        <v>70</v>
      </c>
      <c r="B37">
        <v>4.1056999999999997</v>
      </c>
      <c r="C37">
        <v>76165</v>
      </c>
      <c r="D37" t="s">
        <v>87</v>
      </c>
      <c r="F37" s="2" t="s">
        <v>42</v>
      </c>
      <c r="G37" s="3">
        <v>494</v>
      </c>
      <c r="H37" s="3">
        <v>8.2156000000000002</v>
      </c>
    </row>
    <row r="38" spans="1:8" x14ac:dyDescent="0.25">
      <c r="A38" t="s">
        <v>17</v>
      </c>
      <c r="B38">
        <v>4.2698999999999998</v>
      </c>
      <c r="C38">
        <v>1404</v>
      </c>
      <c r="D38" t="s">
        <v>87</v>
      </c>
      <c r="F38" s="2" t="s">
        <v>43</v>
      </c>
      <c r="G38" s="3">
        <v>37546</v>
      </c>
      <c r="H38" s="3">
        <v>8.2242999999999995</v>
      </c>
    </row>
    <row r="39" spans="1:8" x14ac:dyDescent="0.25">
      <c r="A39" t="s">
        <v>5</v>
      </c>
      <c r="B39">
        <v>4.1719999999999997</v>
      </c>
      <c r="C39">
        <v>5797</v>
      </c>
      <c r="D39" t="s">
        <v>87</v>
      </c>
      <c r="F39" s="2" t="s">
        <v>44</v>
      </c>
      <c r="G39" s="3">
        <v>1348</v>
      </c>
      <c r="H39" s="3">
        <v>8.2179000000000002</v>
      </c>
    </row>
    <row r="40" spans="1:8" x14ac:dyDescent="0.25">
      <c r="A40" t="s">
        <v>21</v>
      </c>
      <c r="B40">
        <v>4.1439000000000004</v>
      </c>
      <c r="C40">
        <v>18512</v>
      </c>
      <c r="D40" t="s">
        <v>87</v>
      </c>
      <c r="F40" s="2" t="s">
        <v>45</v>
      </c>
      <c r="G40" s="3">
        <v>192</v>
      </c>
      <c r="H40" s="3">
        <v>9.1234999999999999</v>
      </c>
    </row>
    <row r="41" spans="1:8" x14ac:dyDescent="0.25">
      <c r="A41" t="s">
        <v>64</v>
      </c>
      <c r="B41">
        <v>4.0313999999999997</v>
      </c>
      <c r="C41">
        <v>44841</v>
      </c>
      <c r="D41" t="s">
        <v>87</v>
      </c>
      <c r="F41" s="2" t="s">
        <v>46</v>
      </c>
      <c r="G41" s="3">
        <v>44036</v>
      </c>
      <c r="H41" s="3">
        <v>8.1890000000000001</v>
      </c>
    </row>
    <row r="42" spans="1:8" x14ac:dyDescent="0.25">
      <c r="A42" t="s">
        <v>74</v>
      </c>
      <c r="B42">
        <v>4.0884999999999998</v>
      </c>
      <c r="C42">
        <v>20126</v>
      </c>
      <c r="D42" t="s">
        <v>88</v>
      </c>
      <c r="F42" s="2" t="s">
        <v>47</v>
      </c>
      <c r="G42" s="3">
        <v>146614</v>
      </c>
      <c r="H42" s="3">
        <v>8.1369000000000007</v>
      </c>
    </row>
    <row r="43" spans="1:8" x14ac:dyDescent="0.25">
      <c r="A43" t="s">
        <v>46</v>
      </c>
      <c r="B43">
        <v>4.1016000000000004</v>
      </c>
      <c r="C43">
        <v>10567</v>
      </c>
      <c r="D43" t="s">
        <v>88</v>
      </c>
      <c r="F43" s="2" t="s">
        <v>48</v>
      </c>
      <c r="G43" s="3">
        <v>5058</v>
      </c>
      <c r="H43" s="3">
        <v>8.1052999999999997</v>
      </c>
    </row>
    <row r="44" spans="1:8" x14ac:dyDescent="0.25">
      <c r="A44" t="s">
        <v>6</v>
      </c>
      <c r="B44">
        <v>4.2282000000000002</v>
      </c>
      <c r="C44">
        <v>1867</v>
      </c>
      <c r="D44" t="s">
        <v>87</v>
      </c>
      <c r="F44" s="2" t="s">
        <v>49</v>
      </c>
      <c r="G44" s="3">
        <v>1756</v>
      </c>
      <c r="H44" s="3">
        <v>8.1189</v>
      </c>
    </row>
    <row r="45" spans="1:8" x14ac:dyDescent="0.25">
      <c r="A45" t="s">
        <v>20</v>
      </c>
      <c r="B45">
        <v>4.1314000000000002</v>
      </c>
      <c r="C45">
        <v>3781</v>
      </c>
      <c r="D45" t="s">
        <v>87</v>
      </c>
      <c r="F45" s="2" t="s">
        <v>50</v>
      </c>
      <c r="G45" s="3">
        <v>82</v>
      </c>
      <c r="H45" s="3">
        <v>9.7971000000000004</v>
      </c>
    </row>
    <row r="46" spans="1:8" x14ac:dyDescent="0.25">
      <c r="A46" t="s">
        <v>23</v>
      </c>
      <c r="B46">
        <v>4.0533999999999999</v>
      </c>
      <c r="C46">
        <v>3989</v>
      </c>
      <c r="D46" t="s">
        <v>87</v>
      </c>
      <c r="F46" s="2" t="s">
        <v>51</v>
      </c>
      <c r="G46" s="3">
        <v>1297</v>
      </c>
      <c r="H46" s="3">
        <v>8.6220999999999997</v>
      </c>
    </row>
    <row r="47" spans="1:8" x14ac:dyDescent="0.25">
      <c r="A47" t="s">
        <v>32</v>
      </c>
      <c r="B47">
        <v>4.0679999999999996</v>
      </c>
      <c r="C47">
        <v>25747</v>
      </c>
      <c r="D47" t="s">
        <v>88</v>
      </c>
      <c r="F47" s="2" t="s">
        <v>52</v>
      </c>
      <c r="G47" s="3">
        <v>2876</v>
      </c>
      <c r="H47" s="3">
        <v>8.0631000000000004</v>
      </c>
    </row>
    <row r="48" spans="1:8" x14ac:dyDescent="0.25">
      <c r="A48" t="s">
        <v>57</v>
      </c>
      <c r="B48">
        <v>4.1012000000000004</v>
      </c>
      <c r="C48">
        <v>16099</v>
      </c>
      <c r="D48" t="s">
        <v>87</v>
      </c>
      <c r="F48" s="2" t="s">
        <v>53</v>
      </c>
      <c r="G48" s="3">
        <v>141355</v>
      </c>
      <c r="H48" s="3">
        <v>8.1614000000000004</v>
      </c>
    </row>
    <row r="49" spans="1:8" x14ac:dyDescent="0.25">
      <c r="A49" t="s">
        <v>29</v>
      </c>
      <c r="B49">
        <v>4.1820000000000004</v>
      </c>
      <c r="C49">
        <v>533</v>
      </c>
      <c r="D49" t="s">
        <v>88</v>
      </c>
      <c r="F49" s="2" t="s">
        <v>54</v>
      </c>
      <c r="G49" s="3">
        <v>4534</v>
      </c>
      <c r="H49" s="3">
        <v>8.2827999999999999</v>
      </c>
    </row>
    <row r="50" spans="1:8" x14ac:dyDescent="0.25">
      <c r="A50" t="s">
        <v>58</v>
      </c>
      <c r="B50">
        <v>4.0361000000000002</v>
      </c>
      <c r="C50">
        <v>5543</v>
      </c>
      <c r="D50" t="s">
        <v>87</v>
      </c>
      <c r="F50" s="2" t="s">
        <v>55</v>
      </c>
      <c r="G50" s="3">
        <v>1253</v>
      </c>
      <c r="H50" s="3">
        <v>8.5568999999999988</v>
      </c>
    </row>
    <row r="51" spans="1:8" x14ac:dyDescent="0.25">
      <c r="A51" t="s">
        <v>4</v>
      </c>
      <c r="B51">
        <v>3.992</v>
      </c>
      <c r="C51">
        <v>3729</v>
      </c>
      <c r="D51" t="s">
        <v>87</v>
      </c>
      <c r="F51" s="2" t="s">
        <v>56</v>
      </c>
      <c r="G51" s="3">
        <v>574</v>
      </c>
      <c r="H51" s="3">
        <v>7.6566000000000001</v>
      </c>
    </row>
    <row r="52" spans="1:8" x14ac:dyDescent="0.25">
      <c r="A52" t="s">
        <v>13</v>
      </c>
      <c r="B52">
        <v>4.1166</v>
      </c>
      <c r="C52">
        <v>2762</v>
      </c>
      <c r="D52" t="s">
        <v>87</v>
      </c>
      <c r="F52" s="2" t="s">
        <v>57</v>
      </c>
      <c r="G52" s="3">
        <v>21114</v>
      </c>
      <c r="H52" s="3">
        <v>8.0958000000000006</v>
      </c>
    </row>
    <row r="53" spans="1:8" x14ac:dyDescent="0.25">
      <c r="A53" t="s">
        <v>17</v>
      </c>
      <c r="B53">
        <v>4.5484999999999998</v>
      </c>
      <c r="C53">
        <v>412</v>
      </c>
      <c r="D53" t="s">
        <v>88</v>
      </c>
      <c r="F53" s="2" t="s">
        <v>58</v>
      </c>
      <c r="G53" s="3">
        <v>7228</v>
      </c>
      <c r="H53" s="3">
        <v>7.9732000000000003</v>
      </c>
    </row>
    <row r="54" spans="1:8" x14ac:dyDescent="0.25">
      <c r="A54" t="s">
        <v>19</v>
      </c>
      <c r="B54">
        <v>4.1292999999999997</v>
      </c>
      <c r="C54">
        <v>19560</v>
      </c>
      <c r="D54" t="s">
        <v>87</v>
      </c>
      <c r="F54" s="2" t="s">
        <v>59</v>
      </c>
      <c r="G54" s="3">
        <v>1537</v>
      </c>
      <c r="H54" s="3">
        <v>7.7741000000000007</v>
      </c>
    </row>
    <row r="55" spans="1:8" x14ac:dyDescent="0.25">
      <c r="A55" t="s">
        <v>66</v>
      </c>
      <c r="B55">
        <v>3.7648000000000001</v>
      </c>
      <c r="C55">
        <v>1135</v>
      </c>
      <c r="D55" t="s">
        <v>88</v>
      </c>
      <c r="F55" s="2" t="s">
        <v>60</v>
      </c>
      <c r="G55" s="3">
        <v>17503</v>
      </c>
      <c r="H55" s="3">
        <v>8.0235000000000003</v>
      </c>
    </row>
    <row r="56" spans="1:8" x14ac:dyDescent="0.25">
      <c r="A56" t="s">
        <v>10</v>
      </c>
      <c r="B56">
        <v>4.1233000000000004</v>
      </c>
      <c r="C56">
        <v>15197</v>
      </c>
      <c r="D56" t="s">
        <v>88</v>
      </c>
      <c r="F56" s="2" t="s">
        <v>61</v>
      </c>
      <c r="G56" s="3">
        <v>5976</v>
      </c>
      <c r="H56" s="3">
        <v>8.3629999999999995</v>
      </c>
    </row>
    <row r="57" spans="1:8" x14ac:dyDescent="0.25">
      <c r="A57" t="s">
        <v>31</v>
      </c>
      <c r="B57">
        <v>3.9964</v>
      </c>
      <c r="C57">
        <v>555</v>
      </c>
      <c r="D57" t="s">
        <v>88</v>
      </c>
      <c r="F57" s="2" t="s">
        <v>62</v>
      </c>
      <c r="G57" s="3">
        <v>1131</v>
      </c>
      <c r="H57" s="3">
        <v>8.3388999999999989</v>
      </c>
    </row>
    <row r="58" spans="1:8" x14ac:dyDescent="0.25">
      <c r="A58" t="s">
        <v>22</v>
      </c>
      <c r="B58">
        <v>3.8409</v>
      </c>
      <c r="C58">
        <v>3903</v>
      </c>
      <c r="D58" t="s">
        <v>87</v>
      </c>
      <c r="F58" s="2" t="s">
        <v>63</v>
      </c>
      <c r="G58" s="3">
        <v>104860</v>
      </c>
      <c r="H58" s="3">
        <v>8.1552000000000007</v>
      </c>
    </row>
    <row r="59" spans="1:8" x14ac:dyDescent="0.25">
      <c r="A59" t="s">
        <v>58</v>
      </c>
      <c r="B59">
        <v>3.9371</v>
      </c>
      <c r="C59">
        <v>1685</v>
      </c>
      <c r="D59" t="s">
        <v>88</v>
      </c>
      <c r="F59" s="2" t="s">
        <v>64</v>
      </c>
      <c r="G59" s="3">
        <v>61389</v>
      </c>
      <c r="H59" s="3">
        <v>8.1640999999999995</v>
      </c>
    </row>
    <row r="60" spans="1:8" x14ac:dyDescent="0.25">
      <c r="A60" t="s">
        <v>12</v>
      </c>
      <c r="B60">
        <v>4.0560999999999998</v>
      </c>
      <c r="C60">
        <v>18811</v>
      </c>
      <c r="D60" t="s">
        <v>87</v>
      </c>
      <c r="F60" s="2" t="s">
        <v>65</v>
      </c>
      <c r="G60" s="3">
        <v>51</v>
      </c>
      <c r="H60" s="3">
        <v>9.793099999999999</v>
      </c>
    </row>
    <row r="61" spans="1:8" x14ac:dyDescent="0.25">
      <c r="A61" t="s">
        <v>27</v>
      </c>
      <c r="B61">
        <v>4.2203999999999997</v>
      </c>
      <c r="C61">
        <v>363</v>
      </c>
      <c r="D61" t="s">
        <v>87</v>
      </c>
      <c r="F61" s="2" t="s">
        <v>66</v>
      </c>
      <c r="G61" s="3">
        <v>4250</v>
      </c>
      <c r="H61" s="3">
        <v>7.9603000000000002</v>
      </c>
    </row>
    <row r="62" spans="1:8" x14ac:dyDescent="0.25">
      <c r="A62" t="s">
        <v>67</v>
      </c>
      <c r="B62">
        <v>4.1254999999999997</v>
      </c>
      <c r="C62">
        <v>3999</v>
      </c>
      <c r="D62" t="s">
        <v>88</v>
      </c>
      <c r="F62" s="2" t="s">
        <v>67</v>
      </c>
      <c r="G62" s="3">
        <v>14422</v>
      </c>
      <c r="H62" s="3">
        <v>8.180299999999999</v>
      </c>
    </row>
    <row r="63" spans="1:8" x14ac:dyDescent="0.25">
      <c r="A63" t="s">
        <v>39</v>
      </c>
      <c r="B63">
        <v>4.2727000000000004</v>
      </c>
      <c r="C63">
        <v>176</v>
      </c>
      <c r="D63" t="s">
        <v>88</v>
      </c>
      <c r="F63" s="2" t="s">
        <v>69</v>
      </c>
      <c r="G63" s="3">
        <v>175402</v>
      </c>
      <c r="H63" s="3">
        <v>8.1333000000000002</v>
      </c>
    </row>
    <row r="64" spans="1:8" x14ac:dyDescent="0.25">
      <c r="A64" t="s">
        <v>12</v>
      </c>
      <c r="B64">
        <v>4.08</v>
      </c>
      <c r="C64">
        <v>6841</v>
      </c>
      <c r="D64" t="s">
        <v>88</v>
      </c>
      <c r="F64" s="2" t="s">
        <v>70</v>
      </c>
      <c r="G64" s="3">
        <v>103333</v>
      </c>
      <c r="H64" s="3">
        <v>8.2256999999999998</v>
      </c>
    </row>
    <row r="65" spans="1:8" x14ac:dyDescent="0.25">
      <c r="A65" t="s">
        <v>35</v>
      </c>
      <c r="B65">
        <v>4.2823000000000002</v>
      </c>
      <c r="C65">
        <v>5530</v>
      </c>
      <c r="D65" t="s">
        <v>88</v>
      </c>
      <c r="F65" s="2" t="s">
        <v>71</v>
      </c>
      <c r="G65" s="3">
        <v>719</v>
      </c>
      <c r="H65" s="3">
        <v>7.9477000000000002</v>
      </c>
    </row>
    <row r="66" spans="1:8" x14ac:dyDescent="0.25">
      <c r="A66" t="s">
        <v>57</v>
      </c>
      <c r="B66">
        <v>3.9946000000000002</v>
      </c>
      <c r="C66">
        <v>5015</v>
      </c>
      <c r="D66" t="s">
        <v>88</v>
      </c>
      <c r="F66" s="2" t="s">
        <v>72</v>
      </c>
      <c r="G66" s="3">
        <v>63738</v>
      </c>
      <c r="H66" s="3">
        <v>8.1853000000000016</v>
      </c>
    </row>
    <row r="67" spans="1:8" x14ac:dyDescent="0.25">
      <c r="A67" t="s">
        <v>59</v>
      </c>
      <c r="B67">
        <v>4.1382000000000003</v>
      </c>
      <c r="C67">
        <v>1136</v>
      </c>
      <c r="D67" t="s">
        <v>87</v>
      </c>
      <c r="F67" s="2" t="s">
        <v>73</v>
      </c>
      <c r="G67" s="3">
        <v>88848</v>
      </c>
      <c r="H67" s="3">
        <v>8.1997999999999998</v>
      </c>
    </row>
    <row r="68" spans="1:8" x14ac:dyDescent="0.25">
      <c r="A68" t="s">
        <v>31</v>
      </c>
      <c r="B68">
        <v>4.1032999999999999</v>
      </c>
      <c r="C68">
        <v>1403</v>
      </c>
      <c r="D68" t="s">
        <v>87</v>
      </c>
      <c r="F68" s="2" t="s">
        <v>74</v>
      </c>
      <c r="G68" s="3">
        <v>80316</v>
      </c>
      <c r="H68" s="3">
        <v>8.198599999999999</v>
      </c>
    </row>
    <row r="69" spans="1:8" x14ac:dyDescent="0.25">
      <c r="A69" t="s">
        <v>6</v>
      </c>
      <c r="B69">
        <v>4.1837</v>
      </c>
      <c r="C69">
        <v>784</v>
      </c>
      <c r="D69" t="s">
        <v>88</v>
      </c>
      <c r="F69" s="2" t="s">
        <v>91</v>
      </c>
      <c r="G69" s="3">
        <v>1571447</v>
      </c>
      <c r="H69" s="3">
        <v>534.64640000000009</v>
      </c>
    </row>
    <row r="70" spans="1:8" x14ac:dyDescent="0.25">
      <c r="A70" t="s">
        <v>14</v>
      </c>
      <c r="B70">
        <v>4.1277999999999997</v>
      </c>
      <c r="C70">
        <v>10952</v>
      </c>
      <c r="D70" t="s">
        <v>87</v>
      </c>
    </row>
    <row r="71" spans="1:8" x14ac:dyDescent="0.25">
      <c r="A71" t="s">
        <v>60</v>
      </c>
      <c r="B71">
        <v>3.9882</v>
      </c>
      <c r="C71">
        <v>4676</v>
      </c>
      <c r="D71" t="s">
        <v>88</v>
      </c>
    </row>
    <row r="72" spans="1:8" x14ac:dyDescent="0.25">
      <c r="A72" t="s">
        <v>16</v>
      </c>
      <c r="B72">
        <v>4.0053000000000001</v>
      </c>
      <c r="C72">
        <v>749</v>
      </c>
      <c r="D72" t="s">
        <v>88</v>
      </c>
    </row>
    <row r="73" spans="1:8" x14ac:dyDescent="0.25">
      <c r="A73" t="s">
        <v>44</v>
      </c>
      <c r="B73">
        <v>4.1420000000000003</v>
      </c>
      <c r="C73">
        <v>979</v>
      </c>
      <c r="D73" t="s">
        <v>87</v>
      </c>
    </row>
    <row r="74" spans="1:8" x14ac:dyDescent="0.25">
      <c r="A74" t="s">
        <v>41</v>
      </c>
      <c r="B74">
        <v>4.2191999999999998</v>
      </c>
      <c r="C74">
        <v>4936</v>
      </c>
      <c r="D74" t="s">
        <v>87</v>
      </c>
    </row>
    <row r="75" spans="1:8" x14ac:dyDescent="0.25">
      <c r="A75" t="s">
        <v>54</v>
      </c>
      <c r="B75">
        <v>4.2614999999999998</v>
      </c>
      <c r="C75">
        <v>1151</v>
      </c>
      <c r="D75" t="s">
        <v>88</v>
      </c>
    </row>
    <row r="76" spans="1:8" x14ac:dyDescent="0.25">
      <c r="A76" t="s">
        <v>30</v>
      </c>
      <c r="B76">
        <v>4.1051000000000002</v>
      </c>
      <c r="C76">
        <v>5795</v>
      </c>
      <c r="D76" t="s">
        <v>87</v>
      </c>
    </row>
    <row r="77" spans="1:8" x14ac:dyDescent="0.25">
      <c r="A77" t="s">
        <v>67</v>
      </c>
      <c r="B77">
        <v>4.0548000000000002</v>
      </c>
      <c r="C77">
        <v>10423</v>
      </c>
      <c r="D77" t="s">
        <v>87</v>
      </c>
    </row>
    <row r="78" spans="1:8" x14ac:dyDescent="0.25">
      <c r="A78" t="s">
        <v>21</v>
      </c>
      <c r="B78">
        <v>4.0298999999999996</v>
      </c>
      <c r="C78">
        <v>6316</v>
      </c>
      <c r="D78" t="s">
        <v>88</v>
      </c>
    </row>
    <row r="79" spans="1:8" x14ac:dyDescent="0.25">
      <c r="A79" t="s">
        <v>19</v>
      </c>
      <c r="B79">
        <v>3.9931000000000001</v>
      </c>
      <c r="C79">
        <v>7096</v>
      </c>
      <c r="D79" t="s">
        <v>88</v>
      </c>
    </row>
    <row r="80" spans="1:8" x14ac:dyDescent="0.25">
      <c r="A80" t="s">
        <v>28</v>
      </c>
      <c r="B80">
        <v>4.0252999999999997</v>
      </c>
      <c r="C80">
        <v>3166</v>
      </c>
      <c r="D80" t="s">
        <v>87</v>
      </c>
    </row>
    <row r="81" spans="1:4" x14ac:dyDescent="0.25">
      <c r="A81" t="s">
        <v>66</v>
      </c>
      <c r="B81">
        <v>4.1955</v>
      </c>
      <c r="C81">
        <v>3115</v>
      </c>
      <c r="D81" t="s">
        <v>87</v>
      </c>
    </row>
    <row r="82" spans="1:4" x14ac:dyDescent="0.25">
      <c r="A82" t="s">
        <v>29</v>
      </c>
      <c r="B82">
        <v>4.2167000000000003</v>
      </c>
      <c r="C82">
        <v>2617</v>
      </c>
      <c r="D82" t="s">
        <v>87</v>
      </c>
    </row>
    <row r="83" spans="1:4" x14ac:dyDescent="0.25">
      <c r="A83" t="s">
        <v>40</v>
      </c>
      <c r="B83">
        <v>3.9554999999999998</v>
      </c>
      <c r="C83">
        <v>1370</v>
      </c>
      <c r="D83" t="s">
        <v>88</v>
      </c>
    </row>
    <row r="84" spans="1:4" x14ac:dyDescent="0.25">
      <c r="A84" t="s">
        <v>25</v>
      </c>
      <c r="B84">
        <v>4.0503999999999998</v>
      </c>
      <c r="C84">
        <v>4206</v>
      </c>
      <c r="D84" t="s">
        <v>87</v>
      </c>
    </row>
    <row r="85" spans="1:4" x14ac:dyDescent="0.25">
      <c r="A85" t="s">
        <v>51</v>
      </c>
      <c r="B85">
        <v>4.3159999999999998</v>
      </c>
      <c r="C85">
        <v>307</v>
      </c>
      <c r="D85" t="s">
        <v>88</v>
      </c>
    </row>
    <row r="86" spans="1:4" x14ac:dyDescent="0.25">
      <c r="A86" t="s">
        <v>37</v>
      </c>
      <c r="B86">
        <v>4.1706000000000003</v>
      </c>
      <c r="C86">
        <v>1706</v>
      </c>
      <c r="D86" t="s">
        <v>88</v>
      </c>
    </row>
    <row r="87" spans="1:4" x14ac:dyDescent="0.25">
      <c r="A87" t="s">
        <v>23</v>
      </c>
      <c r="B87">
        <v>4.1856</v>
      </c>
      <c r="C87">
        <v>1487</v>
      </c>
      <c r="D87" t="s">
        <v>88</v>
      </c>
    </row>
    <row r="88" spans="1:4" x14ac:dyDescent="0.25">
      <c r="A88" t="s">
        <v>34</v>
      </c>
      <c r="B88">
        <v>3.9864000000000002</v>
      </c>
      <c r="C88">
        <v>2788</v>
      </c>
      <c r="D88" t="s">
        <v>88</v>
      </c>
    </row>
    <row r="89" spans="1:4" x14ac:dyDescent="0.25">
      <c r="A89" t="s">
        <v>48</v>
      </c>
      <c r="B89">
        <v>4.1177999999999999</v>
      </c>
      <c r="C89">
        <v>1375</v>
      </c>
      <c r="D89" t="s">
        <v>88</v>
      </c>
    </row>
    <row r="90" spans="1:4" x14ac:dyDescent="0.25">
      <c r="A90" t="s">
        <v>25</v>
      </c>
      <c r="B90">
        <v>3.9986000000000002</v>
      </c>
      <c r="C90">
        <v>1443</v>
      </c>
      <c r="D90" t="s">
        <v>88</v>
      </c>
    </row>
    <row r="91" spans="1:4" x14ac:dyDescent="0.25">
      <c r="A91" t="s">
        <v>13</v>
      </c>
      <c r="B91">
        <v>4.0772000000000004</v>
      </c>
      <c r="C91">
        <v>894</v>
      </c>
      <c r="D91" t="s">
        <v>88</v>
      </c>
    </row>
    <row r="92" spans="1:4" x14ac:dyDescent="0.25">
      <c r="A92" t="s">
        <v>5</v>
      </c>
      <c r="B92">
        <v>4.0698999999999996</v>
      </c>
      <c r="C92">
        <v>2319</v>
      </c>
      <c r="D92" t="s">
        <v>88</v>
      </c>
    </row>
    <row r="93" spans="1:4" x14ac:dyDescent="0.25">
      <c r="A93" t="s">
        <v>48</v>
      </c>
      <c r="B93">
        <v>3.9874999999999998</v>
      </c>
      <c r="C93">
        <v>3683</v>
      </c>
      <c r="D93" t="s">
        <v>87</v>
      </c>
    </row>
    <row r="94" spans="1:4" x14ac:dyDescent="0.25">
      <c r="A94" t="s">
        <v>54</v>
      </c>
      <c r="B94">
        <v>4.0213000000000001</v>
      </c>
      <c r="C94">
        <v>3383</v>
      </c>
      <c r="D94" t="s">
        <v>87</v>
      </c>
    </row>
    <row r="95" spans="1:4" x14ac:dyDescent="0.25">
      <c r="A95" t="s">
        <v>42</v>
      </c>
      <c r="B95">
        <v>4.3113000000000001</v>
      </c>
      <c r="C95">
        <v>379</v>
      </c>
      <c r="D95" t="s">
        <v>87</v>
      </c>
    </row>
    <row r="96" spans="1:4" x14ac:dyDescent="0.25">
      <c r="A96" t="s">
        <v>26</v>
      </c>
      <c r="B96">
        <v>4.0819000000000001</v>
      </c>
      <c r="C96">
        <v>1551</v>
      </c>
      <c r="D96" t="s">
        <v>87</v>
      </c>
    </row>
    <row r="97" spans="1:4" x14ac:dyDescent="0.25">
      <c r="A97" t="s">
        <v>28</v>
      </c>
      <c r="B97">
        <v>4.2424999999999997</v>
      </c>
      <c r="C97">
        <v>1270</v>
      </c>
      <c r="D97" t="s">
        <v>88</v>
      </c>
    </row>
    <row r="98" spans="1:4" x14ac:dyDescent="0.25">
      <c r="A98" t="s">
        <v>56</v>
      </c>
      <c r="B98">
        <v>4.0861000000000001</v>
      </c>
      <c r="C98">
        <v>418</v>
      </c>
      <c r="D98" t="s">
        <v>87</v>
      </c>
    </row>
    <row r="99" spans="1:4" x14ac:dyDescent="0.25">
      <c r="A99" t="s">
        <v>61</v>
      </c>
      <c r="B99">
        <v>4.2015000000000002</v>
      </c>
      <c r="C99">
        <v>4595</v>
      </c>
      <c r="D99" t="s">
        <v>87</v>
      </c>
    </row>
    <row r="100" spans="1:4" x14ac:dyDescent="0.25">
      <c r="A100" t="s">
        <v>71</v>
      </c>
      <c r="B100">
        <v>3.8967000000000001</v>
      </c>
      <c r="C100">
        <v>523</v>
      </c>
      <c r="D100" t="s">
        <v>87</v>
      </c>
    </row>
    <row r="101" spans="1:4" x14ac:dyDescent="0.25">
      <c r="A101" t="s">
        <v>33</v>
      </c>
      <c r="B101">
        <v>3.3346</v>
      </c>
      <c r="C101">
        <v>257</v>
      </c>
      <c r="D101" t="s">
        <v>88</v>
      </c>
    </row>
    <row r="102" spans="1:4" x14ac:dyDescent="0.25">
      <c r="A102" t="s">
        <v>52</v>
      </c>
      <c r="B102">
        <v>3.9028</v>
      </c>
      <c r="C102">
        <v>761</v>
      </c>
      <c r="D102" t="s">
        <v>88</v>
      </c>
    </row>
    <row r="103" spans="1:4" x14ac:dyDescent="0.25">
      <c r="A103" t="s">
        <v>30</v>
      </c>
      <c r="B103">
        <v>4.2089999999999996</v>
      </c>
      <c r="C103">
        <v>2340</v>
      </c>
      <c r="D103" t="s">
        <v>88</v>
      </c>
    </row>
    <row r="104" spans="1:4" x14ac:dyDescent="0.25">
      <c r="A104" t="s">
        <v>36</v>
      </c>
      <c r="B104">
        <v>3.9129</v>
      </c>
      <c r="C104">
        <v>1815</v>
      </c>
      <c r="D104" t="s">
        <v>87</v>
      </c>
    </row>
    <row r="105" spans="1:4" x14ac:dyDescent="0.25">
      <c r="A105" t="s">
        <v>55</v>
      </c>
      <c r="B105">
        <v>4.2352999999999996</v>
      </c>
      <c r="C105">
        <v>799</v>
      </c>
      <c r="D105" t="s">
        <v>87</v>
      </c>
    </row>
    <row r="106" spans="1:4" x14ac:dyDescent="0.25">
      <c r="A106" t="s">
        <v>27</v>
      </c>
      <c r="B106">
        <v>4.0328999999999997</v>
      </c>
      <c r="C106">
        <v>152</v>
      </c>
      <c r="D106" t="s">
        <v>88</v>
      </c>
    </row>
    <row r="107" spans="1:4" x14ac:dyDescent="0.25">
      <c r="A107" t="s">
        <v>41</v>
      </c>
      <c r="B107">
        <v>4.1307999999999998</v>
      </c>
      <c r="C107">
        <v>1782</v>
      </c>
      <c r="D107" t="s">
        <v>88</v>
      </c>
    </row>
    <row r="108" spans="1:4" x14ac:dyDescent="0.25">
      <c r="A108" t="s">
        <v>52</v>
      </c>
      <c r="B108">
        <v>4.1603000000000003</v>
      </c>
      <c r="C108">
        <v>2115</v>
      </c>
      <c r="D108" t="s">
        <v>87</v>
      </c>
    </row>
    <row r="109" spans="1:4" x14ac:dyDescent="0.25">
      <c r="A109" t="s">
        <v>26</v>
      </c>
      <c r="B109">
        <v>3.9420000000000002</v>
      </c>
      <c r="C109">
        <v>379</v>
      </c>
      <c r="D109" t="s">
        <v>88</v>
      </c>
    </row>
    <row r="110" spans="1:4" x14ac:dyDescent="0.25">
      <c r="A110" t="s">
        <v>39</v>
      </c>
      <c r="B110">
        <v>4.2161</v>
      </c>
      <c r="C110">
        <v>671</v>
      </c>
      <c r="D110" t="s">
        <v>87</v>
      </c>
    </row>
    <row r="111" spans="1:4" x14ac:dyDescent="0.25">
      <c r="A111" t="s">
        <v>38</v>
      </c>
      <c r="B111">
        <v>4.0618999999999996</v>
      </c>
      <c r="C111">
        <v>1808</v>
      </c>
      <c r="D111" t="s">
        <v>88</v>
      </c>
    </row>
    <row r="112" spans="1:4" x14ac:dyDescent="0.25">
      <c r="A112" t="s">
        <v>14</v>
      </c>
      <c r="B112">
        <v>4.0541999999999998</v>
      </c>
      <c r="C112">
        <v>4004</v>
      </c>
      <c r="D112" t="s">
        <v>88</v>
      </c>
    </row>
    <row r="113" spans="1:4" x14ac:dyDescent="0.25">
      <c r="A113" t="s">
        <v>49</v>
      </c>
      <c r="B113">
        <v>3.8464999999999998</v>
      </c>
      <c r="C113">
        <v>1264</v>
      </c>
      <c r="D113" t="s">
        <v>87</v>
      </c>
    </row>
    <row r="114" spans="1:4" x14ac:dyDescent="0.25">
      <c r="A114" t="s">
        <v>65</v>
      </c>
      <c r="B114">
        <v>4.7930999999999999</v>
      </c>
      <c r="C114">
        <v>29</v>
      </c>
      <c r="D114" t="s">
        <v>87</v>
      </c>
    </row>
    <row r="115" spans="1:4" x14ac:dyDescent="0.25">
      <c r="A115" t="s">
        <v>20</v>
      </c>
      <c r="B115">
        <v>4.3243999999999998</v>
      </c>
      <c r="C115">
        <v>1042</v>
      </c>
      <c r="D115" t="s">
        <v>88</v>
      </c>
    </row>
    <row r="116" spans="1:4" x14ac:dyDescent="0.25">
      <c r="A116" t="s">
        <v>36</v>
      </c>
      <c r="B116">
        <v>4.0018000000000002</v>
      </c>
      <c r="C116">
        <v>544</v>
      </c>
      <c r="D116" t="s">
        <v>88</v>
      </c>
    </row>
    <row r="117" spans="1:4" x14ac:dyDescent="0.25">
      <c r="A117" t="s">
        <v>61</v>
      </c>
      <c r="B117">
        <v>4.1615000000000002</v>
      </c>
      <c r="C117">
        <v>1381</v>
      </c>
      <c r="D117" t="s">
        <v>88</v>
      </c>
    </row>
    <row r="118" spans="1:4" x14ac:dyDescent="0.25">
      <c r="A118" t="s">
        <v>4</v>
      </c>
      <c r="B118">
        <v>4.0739000000000001</v>
      </c>
      <c r="C118">
        <v>1393</v>
      </c>
      <c r="D118" t="s">
        <v>88</v>
      </c>
    </row>
    <row r="119" spans="1:4" x14ac:dyDescent="0.25">
      <c r="A119" t="s">
        <v>62</v>
      </c>
      <c r="B119">
        <v>4.3933999999999997</v>
      </c>
      <c r="C119">
        <v>361</v>
      </c>
      <c r="D119" t="s">
        <v>88</v>
      </c>
    </row>
    <row r="120" spans="1:4" x14ac:dyDescent="0.25">
      <c r="A120" t="s">
        <v>7</v>
      </c>
      <c r="B120">
        <v>3.8711000000000002</v>
      </c>
      <c r="C120">
        <v>388</v>
      </c>
      <c r="D120" t="s">
        <v>87</v>
      </c>
    </row>
    <row r="121" spans="1:4" x14ac:dyDescent="0.25">
      <c r="A121" t="s">
        <v>45</v>
      </c>
      <c r="B121">
        <v>4.1234999999999999</v>
      </c>
      <c r="C121">
        <v>162</v>
      </c>
      <c r="D121" t="s">
        <v>87</v>
      </c>
    </row>
    <row r="122" spans="1:4" x14ac:dyDescent="0.25">
      <c r="A122" t="s">
        <v>7</v>
      </c>
      <c r="B122">
        <v>3.6042999999999998</v>
      </c>
      <c r="C122">
        <v>230</v>
      </c>
      <c r="D122" t="s">
        <v>88</v>
      </c>
    </row>
    <row r="123" spans="1:4" x14ac:dyDescent="0.25">
      <c r="A123" t="s">
        <v>49</v>
      </c>
      <c r="B123">
        <v>4.2724000000000002</v>
      </c>
      <c r="C123">
        <v>492</v>
      </c>
      <c r="D123" t="s">
        <v>88</v>
      </c>
    </row>
    <row r="124" spans="1:4" x14ac:dyDescent="0.25">
      <c r="A124" t="s">
        <v>62</v>
      </c>
      <c r="B124">
        <v>3.9455</v>
      </c>
      <c r="C124">
        <v>770</v>
      </c>
      <c r="D124" t="s">
        <v>87</v>
      </c>
    </row>
    <row r="125" spans="1:4" x14ac:dyDescent="0.25">
      <c r="A125" t="s">
        <v>68</v>
      </c>
      <c r="B125">
        <v>4.0610999999999997</v>
      </c>
      <c r="C125">
        <v>360</v>
      </c>
      <c r="D125" t="s">
        <v>87</v>
      </c>
    </row>
    <row r="126" spans="1:4" x14ac:dyDescent="0.25">
      <c r="A126" t="s">
        <v>59</v>
      </c>
      <c r="B126">
        <v>3.6358999999999999</v>
      </c>
      <c r="C126">
        <v>401</v>
      </c>
      <c r="D126" t="s">
        <v>88</v>
      </c>
    </row>
    <row r="127" spans="1:4" x14ac:dyDescent="0.25">
      <c r="A127" t="s">
        <v>18</v>
      </c>
      <c r="B127">
        <v>4.3388</v>
      </c>
      <c r="C127">
        <v>121</v>
      </c>
      <c r="D127" t="s">
        <v>88</v>
      </c>
    </row>
    <row r="128" spans="1:4" x14ac:dyDescent="0.25">
      <c r="A128" t="s">
        <v>33</v>
      </c>
      <c r="B128">
        <v>4.3182</v>
      </c>
      <c r="C128">
        <v>462</v>
      </c>
      <c r="D128" t="s">
        <v>87</v>
      </c>
    </row>
    <row r="129" spans="1:4" x14ac:dyDescent="0.25">
      <c r="A129" t="s">
        <v>55</v>
      </c>
      <c r="B129">
        <v>4.3216000000000001</v>
      </c>
      <c r="C129">
        <v>454</v>
      </c>
      <c r="D129" t="s">
        <v>88</v>
      </c>
    </row>
    <row r="130" spans="1:4" x14ac:dyDescent="0.25">
      <c r="A130" t="s">
        <v>65</v>
      </c>
      <c r="B130">
        <v>5</v>
      </c>
      <c r="C130">
        <v>22</v>
      </c>
      <c r="D130" t="s">
        <v>88</v>
      </c>
    </row>
    <row r="131" spans="1:4" x14ac:dyDescent="0.25">
      <c r="A131" t="s">
        <v>68</v>
      </c>
      <c r="B131">
        <v>4.2847</v>
      </c>
      <c r="C131">
        <v>137</v>
      </c>
      <c r="D131" t="s">
        <v>88</v>
      </c>
    </row>
    <row r="132" spans="1:4" x14ac:dyDescent="0.25">
      <c r="A132" t="s">
        <v>71</v>
      </c>
      <c r="B132">
        <v>4.0510000000000002</v>
      </c>
      <c r="C132">
        <v>196</v>
      </c>
      <c r="D132" t="s">
        <v>88</v>
      </c>
    </row>
    <row r="133" spans="1:4" x14ac:dyDescent="0.25">
      <c r="A133" t="s">
        <v>50</v>
      </c>
      <c r="B133">
        <v>4.7971000000000004</v>
      </c>
      <c r="C133">
        <v>69</v>
      </c>
      <c r="D133" t="s">
        <v>87</v>
      </c>
    </row>
    <row r="134" spans="1:4" x14ac:dyDescent="0.25">
      <c r="A134" t="s">
        <v>42</v>
      </c>
      <c r="B134">
        <v>3.9043000000000001</v>
      </c>
      <c r="C134">
        <v>115</v>
      </c>
      <c r="D134" t="s">
        <v>88</v>
      </c>
    </row>
    <row r="135" spans="1:4" x14ac:dyDescent="0.25">
      <c r="A135" t="s">
        <v>8</v>
      </c>
      <c r="B135">
        <v>4.0328999999999997</v>
      </c>
      <c r="C135">
        <v>304</v>
      </c>
      <c r="D135" t="s">
        <v>87</v>
      </c>
    </row>
    <row r="136" spans="1:4" x14ac:dyDescent="0.25">
      <c r="A136" t="s">
        <v>18</v>
      </c>
      <c r="B136">
        <v>4.3746</v>
      </c>
      <c r="C136">
        <v>315</v>
      </c>
      <c r="D136" t="s">
        <v>87</v>
      </c>
    </row>
    <row r="137" spans="1:4" x14ac:dyDescent="0.25">
      <c r="A137" t="s">
        <v>44</v>
      </c>
      <c r="B137">
        <v>4.0758999999999999</v>
      </c>
      <c r="C137">
        <v>369</v>
      </c>
      <c r="D137" t="s">
        <v>88</v>
      </c>
    </row>
    <row r="138" spans="1:4" x14ac:dyDescent="0.25">
      <c r="A138" t="s">
        <v>56</v>
      </c>
      <c r="B138">
        <v>3.5705</v>
      </c>
      <c r="C138">
        <v>156</v>
      </c>
      <c r="D138" t="s">
        <v>88</v>
      </c>
    </row>
    <row r="139" spans="1:4" x14ac:dyDescent="0.25">
      <c r="A139" t="s">
        <v>8</v>
      </c>
      <c r="B139">
        <v>4.1139000000000001</v>
      </c>
      <c r="C139">
        <v>158</v>
      </c>
      <c r="D139" t="s">
        <v>88</v>
      </c>
    </row>
    <row r="140" spans="1:4" x14ac:dyDescent="0.25">
      <c r="A140" t="s">
        <v>45</v>
      </c>
      <c r="B140">
        <v>5</v>
      </c>
      <c r="C140">
        <v>30</v>
      </c>
      <c r="D140" t="s">
        <v>88</v>
      </c>
    </row>
    <row r="141" spans="1:4" x14ac:dyDescent="0.25">
      <c r="A141" t="s">
        <v>50</v>
      </c>
      <c r="B141">
        <v>5</v>
      </c>
      <c r="C141">
        <v>13</v>
      </c>
      <c r="D141" t="s">
        <v>88</v>
      </c>
    </row>
    <row r="142" spans="1:4" x14ac:dyDescent="0.25">
      <c r="A142" t="s">
        <v>15</v>
      </c>
      <c r="B142">
        <v>3.4737</v>
      </c>
      <c r="C142">
        <v>19</v>
      </c>
      <c r="D142" t="s">
        <v>88</v>
      </c>
    </row>
    <row r="143" spans="1:4" x14ac:dyDescent="0.25">
      <c r="A143" t="s">
        <v>15</v>
      </c>
      <c r="B143">
        <v>3.8780000000000001</v>
      </c>
      <c r="C143">
        <v>41</v>
      </c>
      <c r="D143" t="s">
        <v>87</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EB60-809C-4F43-89B7-2A91C5292CA2}">
  <sheetPr>
    <tabColor rgb="FFCC66FF"/>
  </sheetPr>
  <dimension ref="A1:AG418"/>
  <sheetViews>
    <sheetView topLeftCell="J1" zoomScale="83" workbookViewId="0">
      <selection activeCell="W16" sqref="W16"/>
    </sheetView>
  </sheetViews>
  <sheetFormatPr defaultRowHeight="15" x14ac:dyDescent="0.25"/>
  <cols>
    <col min="1" max="1" width="41.140625" bestFit="1" customWidth="1"/>
    <col min="2" max="2" width="20.5703125" bestFit="1" customWidth="1"/>
    <col min="3" max="3" width="15.85546875" bestFit="1" customWidth="1"/>
    <col min="4" max="4" width="18.28515625" bestFit="1" customWidth="1"/>
    <col min="5" max="5" width="30.42578125" bestFit="1" customWidth="1"/>
    <col min="6" max="6" width="12.42578125" customWidth="1"/>
    <col min="7" max="7" width="13.5703125" bestFit="1" customWidth="1"/>
    <col min="8" max="8" width="22.85546875" bestFit="1" customWidth="1"/>
    <col min="9" max="9" width="6.28515625" bestFit="1" customWidth="1"/>
    <col min="10" max="10" width="11.28515625" bestFit="1" customWidth="1"/>
    <col min="33" max="33" width="21.140625" customWidth="1"/>
  </cols>
  <sheetData>
    <row r="1" spans="1:33" x14ac:dyDescent="0.25">
      <c r="A1" t="s">
        <v>0</v>
      </c>
      <c r="B1" t="s">
        <v>75</v>
      </c>
      <c r="C1" t="s">
        <v>76</v>
      </c>
      <c r="D1" t="s">
        <v>77</v>
      </c>
      <c r="E1" t="s">
        <v>78</v>
      </c>
    </row>
    <row r="2" spans="1:33" x14ac:dyDescent="0.25">
      <c r="A2" t="s">
        <v>4</v>
      </c>
      <c r="B2" t="s">
        <v>80</v>
      </c>
      <c r="C2" t="s">
        <v>81</v>
      </c>
      <c r="D2">
        <v>28</v>
      </c>
      <c r="E2">
        <v>1.9922</v>
      </c>
      <c r="G2" s="1" t="s">
        <v>95</v>
      </c>
      <c r="H2" s="1" t="s">
        <v>94</v>
      </c>
    </row>
    <row r="3" spans="1:33" x14ac:dyDescent="0.25">
      <c r="A3" t="s">
        <v>4</v>
      </c>
      <c r="B3" t="s">
        <v>80</v>
      </c>
      <c r="C3" t="s">
        <v>79</v>
      </c>
      <c r="D3">
        <v>40</v>
      </c>
      <c r="E3">
        <v>4.0522</v>
      </c>
      <c r="G3" s="1" t="s">
        <v>89</v>
      </c>
      <c r="H3" t="s">
        <v>81</v>
      </c>
      <c r="I3" t="s">
        <v>79</v>
      </c>
      <c r="J3" t="s">
        <v>91</v>
      </c>
      <c r="AG3" t="s">
        <v>100</v>
      </c>
    </row>
    <row r="4" spans="1:33" x14ac:dyDescent="0.25">
      <c r="A4" t="s">
        <v>4</v>
      </c>
      <c r="B4" t="s">
        <v>82</v>
      </c>
      <c r="C4" t="s">
        <v>81</v>
      </c>
      <c r="D4">
        <v>90</v>
      </c>
      <c r="E4">
        <v>2.4702999999999999</v>
      </c>
      <c r="G4" s="2" t="s">
        <v>9</v>
      </c>
      <c r="H4" s="3">
        <v>3677</v>
      </c>
      <c r="I4" s="3">
        <v>3223</v>
      </c>
      <c r="J4" s="3">
        <v>6900</v>
      </c>
      <c r="AG4">
        <f>SUM(D:D)</f>
        <v>134407</v>
      </c>
    </row>
    <row r="5" spans="1:33" x14ac:dyDescent="0.25">
      <c r="A5" t="s">
        <v>4</v>
      </c>
      <c r="B5" t="s">
        <v>82</v>
      </c>
      <c r="C5" t="s">
        <v>79</v>
      </c>
      <c r="D5">
        <v>93</v>
      </c>
      <c r="E5">
        <v>3.9769000000000001</v>
      </c>
      <c r="G5" s="2" t="s">
        <v>11</v>
      </c>
      <c r="H5" s="3">
        <v>6980</v>
      </c>
      <c r="I5" s="3">
        <v>5610</v>
      </c>
      <c r="J5" s="3">
        <v>12590</v>
      </c>
    </row>
    <row r="6" spans="1:33" x14ac:dyDescent="0.25">
      <c r="A6" t="s">
        <v>4</v>
      </c>
      <c r="B6" t="s">
        <v>83</v>
      </c>
      <c r="C6" t="s">
        <v>81</v>
      </c>
      <c r="D6">
        <v>78</v>
      </c>
      <c r="E6">
        <v>2.2309999999999999</v>
      </c>
      <c r="G6" s="2" t="s">
        <v>32</v>
      </c>
      <c r="H6" s="3">
        <v>3722</v>
      </c>
      <c r="I6" s="3">
        <v>3272</v>
      </c>
      <c r="J6" s="3">
        <v>6994</v>
      </c>
      <c r="AG6" t="s">
        <v>101</v>
      </c>
    </row>
    <row r="7" spans="1:33" x14ac:dyDescent="0.25">
      <c r="A7" t="s">
        <v>4</v>
      </c>
      <c r="B7" t="s">
        <v>83</v>
      </c>
      <c r="C7" t="s">
        <v>79</v>
      </c>
      <c r="D7">
        <v>64</v>
      </c>
      <c r="E7">
        <v>4.1871999999999998</v>
      </c>
      <c r="G7" s="2" t="s">
        <v>47</v>
      </c>
      <c r="H7" s="3">
        <v>5534</v>
      </c>
      <c r="I7" s="3">
        <v>4767</v>
      </c>
      <c r="J7" s="3">
        <v>10301</v>
      </c>
      <c r="AG7">
        <f>SUMIFS(D:D,C:C,"Yes")/SUM(retailtech_vw_customer_retention[Total_Customers])</f>
        <v>0.46651588086929996</v>
      </c>
    </row>
    <row r="8" spans="1:33" x14ac:dyDescent="0.25">
      <c r="A8" t="s">
        <v>5</v>
      </c>
      <c r="B8" t="s">
        <v>80</v>
      </c>
      <c r="C8" t="s">
        <v>81</v>
      </c>
      <c r="D8">
        <v>54</v>
      </c>
      <c r="E8">
        <v>3.2012</v>
      </c>
      <c r="G8" s="2" t="s">
        <v>53</v>
      </c>
      <c r="H8" s="3">
        <v>5383</v>
      </c>
      <c r="I8" s="3">
        <v>4707</v>
      </c>
      <c r="J8" s="3">
        <v>10090</v>
      </c>
    </row>
    <row r="9" spans="1:33" x14ac:dyDescent="0.25">
      <c r="A9" t="s">
        <v>5</v>
      </c>
      <c r="B9" t="s">
        <v>80</v>
      </c>
      <c r="C9" t="s">
        <v>79</v>
      </c>
      <c r="D9">
        <v>41</v>
      </c>
      <c r="E9">
        <v>3.8769999999999998</v>
      </c>
      <c r="G9" s="2" t="s">
        <v>63</v>
      </c>
      <c r="H9" s="3">
        <v>4041</v>
      </c>
      <c r="I9" s="3">
        <v>3346</v>
      </c>
      <c r="J9" s="3">
        <v>7387</v>
      </c>
    </row>
    <row r="10" spans="1:33" x14ac:dyDescent="0.25">
      <c r="A10" t="s">
        <v>5</v>
      </c>
      <c r="B10" t="s">
        <v>82</v>
      </c>
      <c r="C10" t="s">
        <v>81</v>
      </c>
      <c r="D10">
        <v>169</v>
      </c>
      <c r="E10">
        <v>2.2755000000000001</v>
      </c>
      <c r="G10" s="2" t="s">
        <v>69</v>
      </c>
      <c r="H10" s="3">
        <v>6567</v>
      </c>
      <c r="I10" s="3">
        <v>5542</v>
      </c>
      <c r="J10" s="3">
        <v>12109</v>
      </c>
    </row>
    <row r="11" spans="1:33" x14ac:dyDescent="0.25">
      <c r="A11" t="s">
        <v>5</v>
      </c>
      <c r="B11" t="s">
        <v>82</v>
      </c>
      <c r="C11" t="s">
        <v>79</v>
      </c>
      <c r="D11">
        <v>149</v>
      </c>
      <c r="E11">
        <v>3.6398999999999999</v>
      </c>
      <c r="G11" s="2" t="s">
        <v>70</v>
      </c>
      <c r="H11" s="3">
        <v>3948</v>
      </c>
      <c r="I11" s="3">
        <v>3312</v>
      </c>
      <c r="J11" s="3">
        <v>7260</v>
      </c>
    </row>
    <row r="12" spans="1:33" x14ac:dyDescent="0.25">
      <c r="A12" t="s">
        <v>5</v>
      </c>
      <c r="B12" t="s">
        <v>83</v>
      </c>
      <c r="C12" t="s">
        <v>81</v>
      </c>
      <c r="D12">
        <v>101</v>
      </c>
      <c r="E12">
        <v>2.4157999999999999</v>
      </c>
      <c r="G12" s="2" t="s">
        <v>73</v>
      </c>
      <c r="H12" s="3">
        <v>3584</v>
      </c>
      <c r="I12" s="3">
        <v>2998</v>
      </c>
      <c r="J12" s="3">
        <v>6582</v>
      </c>
    </row>
    <row r="13" spans="1:33" x14ac:dyDescent="0.25">
      <c r="A13" t="s">
        <v>5</v>
      </c>
      <c r="B13" t="s">
        <v>83</v>
      </c>
      <c r="C13" t="s">
        <v>79</v>
      </c>
      <c r="D13">
        <v>112</v>
      </c>
      <c r="E13">
        <v>4.2934999999999999</v>
      </c>
      <c r="G13" s="2" t="s">
        <v>74</v>
      </c>
      <c r="H13" s="3">
        <v>3133</v>
      </c>
      <c r="I13" s="3">
        <v>2801</v>
      </c>
      <c r="J13" s="3">
        <v>5934</v>
      </c>
    </row>
    <row r="14" spans="1:33" x14ac:dyDescent="0.25">
      <c r="A14" t="s">
        <v>6</v>
      </c>
      <c r="B14" t="s">
        <v>80</v>
      </c>
      <c r="C14" t="s">
        <v>81</v>
      </c>
      <c r="D14">
        <v>12</v>
      </c>
      <c r="E14">
        <v>1.4333</v>
      </c>
      <c r="G14" s="2" t="s">
        <v>91</v>
      </c>
      <c r="H14" s="3">
        <v>46569</v>
      </c>
      <c r="I14" s="3">
        <v>39578</v>
      </c>
      <c r="J14" s="3">
        <v>86147</v>
      </c>
    </row>
    <row r="15" spans="1:33" x14ac:dyDescent="0.25">
      <c r="A15" t="s">
        <v>6</v>
      </c>
      <c r="B15" t="s">
        <v>80</v>
      </c>
      <c r="C15" t="s">
        <v>79</v>
      </c>
      <c r="D15">
        <v>25</v>
      </c>
      <c r="E15">
        <v>4.4946999999999999</v>
      </c>
    </row>
    <row r="16" spans="1:33" x14ac:dyDescent="0.25">
      <c r="A16" t="s">
        <v>6</v>
      </c>
      <c r="B16" t="s">
        <v>82</v>
      </c>
      <c r="C16" t="s">
        <v>81</v>
      </c>
      <c r="D16">
        <v>53</v>
      </c>
      <c r="E16">
        <v>2.2951000000000001</v>
      </c>
    </row>
    <row r="17" spans="1:8" x14ac:dyDescent="0.25">
      <c r="A17" t="s">
        <v>6</v>
      </c>
      <c r="B17" t="s">
        <v>82</v>
      </c>
      <c r="C17" t="s">
        <v>79</v>
      </c>
      <c r="D17">
        <v>49</v>
      </c>
      <c r="E17">
        <v>4.0712000000000002</v>
      </c>
    </row>
    <row r="18" spans="1:8" x14ac:dyDescent="0.25">
      <c r="A18" t="s">
        <v>6</v>
      </c>
      <c r="B18" t="s">
        <v>83</v>
      </c>
      <c r="C18" t="s">
        <v>81</v>
      </c>
      <c r="D18">
        <v>37</v>
      </c>
      <c r="E18">
        <v>2.0114999999999998</v>
      </c>
      <c r="G18" s="1" t="s">
        <v>89</v>
      </c>
      <c r="H18" t="s">
        <v>95</v>
      </c>
    </row>
    <row r="19" spans="1:8" x14ac:dyDescent="0.25">
      <c r="A19" t="s">
        <v>6</v>
      </c>
      <c r="B19" t="s">
        <v>83</v>
      </c>
      <c r="C19" t="s">
        <v>79</v>
      </c>
      <c r="D19">
        <v>34</v>
      </c>
      <c r="E19">
        <v>4.2081999999999997</v>
      </c>
      <c r="G19" s="2" t="s">
        <v>80</v>
      </c>
      <c r="H19" s="3">
        <v>19773</v>
      </c>
    </row>
    <row r="20" spans="1:8" x14ac:dyDescent="0.25">
      <c r="A20" t="s">
        <v>7</v>
      </c>
      <c r="B20" t="s">
        <v>80</v>
      </c>
      <c r="C20" t="s">
        <v>81</v>
      </c>
      <c r="D20">
        <v>3</v>
      </c>
      <c r="E20">
        <v>1</v>
      </c>
      <c r="G20" s="2" t="s">
        <v>83</v>
      </c>
      <c r="H20" s="3">
        <v>47361</v>
      </c>
    </row>
    <row r="21" spans="1:8" x14ac:dyDescent="0.25">
      <c r="A21" t="s">
        <v>7</v>
      </c>
      <c r="B21" t="s">
        <v>80</v>
      </c>
      <c r="C21" t="s">
        <v>79</v>
      </c>
      <c r="D21">
        <v>6</v>
      </c>
      <c r="E21">
        <v>2.3134000000000001</v>
      </c>
      <c r="G21" s="2" t="s">
        <v>82</v>
      </c>
      <c r="H21" s="3">
        <v>67273</v>
      </c>
    </row>
    <row r="22" spans="1:8" x14ac:dyDescent="0.25">
      <c r="A22" t="s">
        <v>7</v>
      </c>
      <c r="B22" t="s">
        <v>82</v>
      </c>
      <c r="C22" t="s">
        <v>81</v>
      </c>
      <c r="D22">
        <v>13</v>
      </c>
      <c r="E22">
        <v>1.1829000000000001</v>
      </c>
      <c r="G22" s="2" t="s">
        <v>91</v>
      </c>
      <c r="H22" s="3">
        <v>134407</v>
      </c>
    </row>
    <row r="23" spans="1:8" x14ac:dyDescent="0.25">
      <c r="A23" t="s">
        <v>7</v>
      </c>
      <c r="B23" t="s">
        <v>82</v>
      </c>
      <c r="C23" t="s">
        <v>79</v>
      </c>
      <c r="D23">
        <v>9</v>
      </c>
      <c r="E23">
        <v>4.6959999999999997</v>
      </c>
    </row>
    <row r="24" spans="1:8" x14ac:dyDescent="0.25">
      <c r="A24" t="s">
        <v>7</v>
      </c>
      <c r="B24" t="s">
        <v>83</v>
      </c>
      <c r="C24" t="s">
        <v>81</v>
      </c>
      <c r="D24">
        <v>13</v>
      </c>
      <c r="E24">
        <v>1.5667</v>
      </c>
    </row>
    <row r="25" spans="1:8" x14ac:dyDescent="0.25">
      <c r="A25" t="s">
        <v>7</v>
      </c>
      <c r="B25" t="s">
        <v>83</v>
      </c>
      <c r="C25" t="s">
        <v>79</v>
      </c>
      <c r="D25">
        <v>15</v>
      </c>
      <c r="E25">
        <v>3.9809999999999999</v>
      </c>
    </row>
    <row r="26" spans="1:8" x14ac:dyDescent="0.25">
      <c r="A26" t="s">
        <v>8</v>
      </c>
      <c r="B26" t="s">
        <v>80</v>
      </c>
      <c r="C26" t="s">
        <v>81</v>
      </c>
      <c r="D26">
        <v>5</v>
      </c>
      <c r="E26">
        <v>3.7951999999999999</v>
      </c>
    </row>
    <row r="27" spans="1:8" x14ac:dyDescent="0.25">
      <c r="A27" t="s">
        <v>8</v>
      </c>
      <c r="B27" t="s">
        <v>80</v>
      </c>
      <c r="C27" t="s">
        <v>79</v>
      </c>
      <c r="D27">
        <v>1</v>
      </c>
      <c r="E27">
        <v>2</v>
      </c>
    </row>
    <row r="28" spans="1:8" x14ac:dyDescent="0.25">
      <c r="A28" t="s">
        <v>8</v>
      </c>
      <c r="B28" t="s">
        <v>82</v>
      </c>
      <c r="C28" t="s">
        <v>81</v>
      </c>
      <c r="D28">
        <v>9</v>
      </c>
      <c r="E28">
        <v>2.1918000000000002</v>
      </c>
    </row>
    <row r="29" spans="1:8" x14ac:dyDescent="0.25">
      <c r="A29" t="s">
        <v>8</v>
      </c>
      <c r="B29" t="s">
        <v>82</v>
      </c>
      <c r="C29" t="s">
        <v>79</v>
      </c>
      <c r="D29">
        <v>9</v>
      </c>
      <c r="E29">
        <v>2.8283</v>
      </c>
    </row>
    <row r="30" spans="1:8" x14ac:dyDescent="0.25">
      <c r="A30" t="s">
        <v>8</v>
      </c>
      <c r="B30" t="s">
        <v>83</v>
      </c>
      <c r="C30" t="s">
        <v>81</v>
      </c>
      <c r="D30">
        <v>7</v>
      </c>
      <c r="E30">
        <v>2.6667000000000001</v>
      </c>
    </row>
    <row r="31" spans="1:8" x14ac:dyDescent="0.25">
      <c r="A31" t="s">
        <v>8</v>
      </c>
      <c r="B31" t="s">
        <v>83</v>
      </c>
      <c r="C31" t="s">
        <v>79</v>
      </c>
      <c r="D31">
        <v>9</v>
      </c>
      <c r="E31">
        <v>3.3965999999999998</v>
      </c>
    </row>
    <row r="32" spans="1:8" x14ac:dyDescent="0.25">
      <c r="A32" t="s">
        <v>9</v>
      </c>
      <c r="B32" t="s">
        <v>80</v>
      </c>
      <c r="C32" t="s">
        <v>81</v>
      </c>
      <c r="D32">
        <v>551</v>
      </c>
      <c r="E32">
        <v>2.3062999999999998</v>
      </c>
    </row>
    <row r="33" spans="1:5" x14ac:dyDescent="0.25">
      <c r="A33" t="s">
        <v>9</v>
      </c>
      <c r="B33" t="s">
        <v>80</v>
      </c>
      <c r="C33" t="s">
        <v>79</v>
      </c>
      <c r="D33">
        <v>499</v>
      </c>
      <c r="E33">
        <v>3.9279000000000002</v>
      </c>
    </row>
    <row r="34" spans="1:5" x14ac:dyDescent="0.25">
      <c r="A34" t="s">
        <v>9</v>
      </c>
      <c r="B34" t="s">
        <v>82</v>
      </c>
      <c r="C34" t="s">
        <v>81</v>
      </c>
      <c r="D34">
        <v>1811</v>
      </c>
      <c r="E34">
        <v>2.3740000000000001</v>
      </c>
    </row>
    <row r="35" spans="1:5" x14ac:dyDescent="0.25">
      <c r="A35" t="s">
        <v>9</v>
      </c>
      <c r="B35" t="s">
        <v>82</v>
      </c>
      <c r="C35" t="s">
        <v>79</v>
      </c>
      <c r="D35">
        <v>1590</v>
      </c>
      <c r="E35">
        <v>4.1738</v>
      </c>
    </row>
    <row r="36" spans="1:5" x14ac:dyDescent="0.25">
      <c r="A36" t="s">
        <v>9</v>
      </c>
      <c r="B36" t="s">
        <v>83</v>
      </c>
      <c r="C36" t="s">
        <v>81</v>
      </c>
      <c r="D36">
        <v>1315</v>
      </c>
      <c r="E36">
        <v>2.2778</v>
      </c>
    </row>
    <row r="37" spans="1:5" x14ac:dyDescent="0.25">
      <c r="A37" t="s">
        <v>9</v>
      </c>
      <c r="B37" t="s">
        <v>83</v>
      </c>
      <c r="C37" t="s">
        <v>79</v>
      </c>
      <c r="D37">
        <v>1134</v>
      </c>
      <c r="E37">
        <v>4.0156999999999998</v>
      </c>
    </row>
    <row r="38" spans="1:5" x14ac:dyDescent="0.25">
      <c r="A38" t="s">
        <v>10</v>
      </c>
      <c r="B38" t="s">
        <v>80</v>
      </c>
      <c r="C38" t="s">
        <v>81</v>
      </c>
      <c r="D38">
        <v>372</v>
      </c>
      <c r="E38">
        <v>2.4752000000000001</v>
      </c>
    </row>
    <row r="39" spans="1:5" x14ac:dyDescent="0.25">
      <c r="A39" t="s">
        <v>10</v>
      </c>
      <c r="B39" t="s">
        <v>80</v>
      </c>
      <c r="C39" t="s">
        <v>79</v>
      </c>
      <c r="D39">
        <v>296</v>
      </c>
      <c r="E39">
        <v>4.3834999999999997</v>
      </c>
    </row>
    <row r="40" spans="1:5" x14ac:dyDescent="0.25">
      <c r="A40" t="s">
        <v>10</v>
      </c>
      <c r="B40" t="s">
        <v>82</v>
      </c>
      <c r="C40" t="s">
        <v>81</v>
      </c>
      <c r="D40">
        <v>1122</v>
      </c>
      <c r="E40">
        <v>2.3239999999999998</v>
      </c>
    </row>
    <row r="41" spans="1:5" x14ac:dyDescent="0.25">
      <c r="A41" t="s">
        <v>10</v>
      </c>
      <c r="B41" t="s">
        <v>82</v>
      </c>
      <c r="C41" t="s">
        <v>79</v>
      </c>
      <c r="D41">
        <v>1001</v>
      </c>
      <c r="E41">
        <v>4.0255999999999998</v>
      </c>
    </row>
    <row r="42" spans="1:5" x14ac:dyDescent="0.25">
      <c r="A42" t="s">
        <v>10</v>
      </c>
      <c r="B42" t="s">
        <v>83</v>
      </c>
      <c r="C42" t="s">
        <v>81</v>
      </c>
      <c r="D42">
        <v>805</v>
      </c>
      <c r="E42">
        <v>2.2884000000000002</v>
      </c>
    </row>
    <row r="43" spans="1:5" x14ac:dyDescent="0.25">
      <c r="A43" t="s">
        <v>10</v>
      </c>
      <c r="B43" t="s">
        <v>83</v>
      </c>
      <c r="C43" t="s">
        <v>79</v>
      </c>
      <c r="D43">
        <v>767</v>
      </c>
      <c r="E43">
        <v>3.9683999999999999</v>
      </c>
    </row>
    <row r="44" spans="1:5" x14ac:dyDescent="0.25">
      <c r="A44" t="s">
        <v>11</v>
      </c>
      <c r="B44" t="s">
        <v>80</v>
      </c>
      <c r="C44" t="s">
        <v>81</v>
      </c>
      <c r="D44">
        <v>1027</v>
      </c>
      <c r="E44">
        <v>2.2938999999999998</v>
      </c>
    </row>
    <row r="45" spans="1:5" x14ac:dyDescent="0.25">
      <c r="A45" t="s">
        <v>11</v>
      </c>
      <c r="B45" t="s">
        <v>80</v>
      </c>
      <c r="C45" t="s">
        <v>79</v>
      </c>
      <c r="D45">
        <v>782</v>
      </c>
      <c r="E45">
        <v>4.1224999999999996</v>
      </c>
    </row>
    <row r="46" spans="1:5" x14ac:dyDescent="0.25">
      <c r="A46" t="s">
        <v>11</v>
      </c>
      <c r="B46" t="s">
        <v>82</v>
      </c>
      <c r="C46" t="s">
        <v>81</v>
      </c>
      <c r="D46">
        <v>3520</v>
      </c>
      <c r="E46">
        <v>2.4159000000000002</v>
      </c>
    </row>
    <row r="47" spans="1:5" x14ac:dyDescent="0.25">
      <c r="A47" t="s">
        <v>11</v>
      </c>
      <c r="B47" t="s">
        <v>82</v>
      </c>
      <c r="C47" t="s">
        <v>79</v>
      </c>
      <c r="D47">
        <v>2826</v>
      </c>
      <c r="E47">
        <v>4.0412999999999997</v>
      </c>
    </row>
    <row r="48" spans="1:5" x14ac:dyDescent="0.25">
      <c r="A48" t="s">
        <v>11</v>
      </c>
      <c r="B48" t="s">
        <v>83</v>
      </c>
      <c r="C48" t="s">
        <v>81</v>
      </c>
      <c r="D48">
        <v>2433</v>
      </c>
      <c r="E48">
        <v>2.3492000000000002</v>
      </c>
    </row>
    <row r="49" spans="1:5" x14ac:dyDescent="0.25">
      <c r="A49" t="s">
        <v>11</v>
      </c>
      <c r="B49" t="s">
        <v>83</v>
      </c>
      <c r="C49" t="s">
        <v>79</v>
      </c>
      <c r="D49">
        <v>2002</v>
      </c>
      <c r="E49">
        <v>4.2126000000000001</v>
      </c>
    </row>
    <row r="50" spans="1:5" x14ac:dyDescent="0.25">
      <c r="A50" t="s">
        <v>12</v>
      </c>
      <c r="B50" t="s">
        <v>80</v>
      </c>
      <c r="C50" t="s">
        <v>81</v>
      </c>
      <c r="D50">
        <v>156</v>
      </c>
      <c r="E50">
        <v>2.3472</v>
      </c>
    </row>
    <row r="51" spans="1:5" x14ac:dyDescent="0.25">
      <c r="A51" t="s">
        <v>12</v>
      </c>
      <c r="B51" t="s">
        <v>80</v>
      </c>
      <c r="C51" t="s">
        <v>79</v>
      </c>
      <c r="D51">
        <v>129</v>
      </c>
      <c r="E51">
        <v>3.9213</v>
      </c>
    </row>
    <row r="52" spans="1:5" x14ac:dyDescent="0.25">
      <c r="A52" t="s">
        <v>12</v>
      </c>
      <c r="B52" t="s">
        <v>82</v>
      </c>
      <c r="C52" t="s">
        <v>81</v>
      </c>
      <c r="D52">
        <v>518</v>
      </c>
      <c r="E52">
        <v>2.3073000000000001</v>
      </c>
    </row>
    <row r="53" spans="1:5" x14ac:dyDescent="0.25">
      <c r="A53" t="s">
        <v>12</v>
      </c>
      <c r="B53" t="s">
        <v>82</v>
      </c>
      <c r="C53" t="s">
        <v>79</v>
      </c>
      <c r="D53">
        <v>450</v>
      </c>
      <c r="E53">
        <v>4.0110000000000001</v>
      </c>
    </row>
    <row r="54" spans="1:5" x14ac:dyDescent="0.25">
      <c r="A54" t="s">
        <v>12</v>
      </c>
      <c r="B54" t="s">
        <v>83</v>
      </c>
      <c r="C54" t="s">
        <v>81</v>
      </c>
      <c r="D54">
        <v>351</v>
      </c>
      <c r="E54">
        <v>2.2888000000000002</v>
      </c>
    </row>
    <row r="55" spans="1:5" x14ac:dyDescent="0.25">
      <c r="A55" t="s">
        <v>12</v>
      </c>
      <c r="B55" t="s">
        <v>83</v>
      </c>
      <c r="C55" t="s">
        <v>79</v>
      </c>
      <c r="D55">
        <v>317</v>
      </c>
      <c r="E55">
        <v>4.3624999999999998</v>
      </c>
    </row>
    <row r="56" spans="1:5" x14ac:dyDescent="0.25">
      <c r="A56" t="s">
        <v>13</v>
      </c>
      <c r="B56" t="s">
        <v>80</v>
      </c>
      <c r="C56" t="s">
        <v>81</v>
      </c>
      <c r="D56">
        <v>21</v>
      </c>
      <c r="E56">
        <v>2.9356</v>
      </c>
    </row>
    <row r="57" spans="1:5" x14ac:dyDescent="0.25">
      <c r="A57" t="s">
        <v>13</v>
      </c>
      <c r="B57" t="s">
        <v>80</v>
      </c>
      <c r="C57" t="s">
        <v>79</v>
      </c>
      <c r="D57">
        <v>16</v>
      </c>
      <c r="E57">
        <v>3.2444000000000002</v>
      </c>
    </row>
    <row r="58" spans="1:5" x14ac:dyDescent="0.25">
      <c r="A58" t="s">
        <v>13</v>
      </c>
      <c r="B58" t="s">
        <v>82</v>
      </c>
      <c r="C58" t="s">
        <v>81</v>
      </c>
      <c r="D58">
        <v>70</v>
      </c>
      <c r="E58">
        <v>2.5861999999999998</v>
      </c>
    </row>
    <row r="59" spans="1:5" x14ac:dyDescent="0.25">
      <c r="A59" t="s">
        <v>13</v>
      </c>
      <c r="B59" t="s">
        <v>82</v>
      </c>
      <c r="C59" t="s">
        <v>79</v>
      </c>
      <c r="D59">
        <v>76</v>
      </c>
      <c r="E59">
        <v>3.6688999999999998</v>
      </c>
    </row>
    <row r="60" spans="1:5" x14ac:dyDescent="0.25">
      <c r="A60" t="s">
        <v>13</v>
      </c>
      <c r="B60" t="s">
        <v>83</v>
      </c>
      <c r="C60" t="s">
        <v>81</v>
      </c>
      <c r="D60">
        <v>51</v>
      </c>
      <c r="E60">
        <v>2.2336999999999998</v>
      </c>
    </row>
    <row r="61" spans="1:5" x14ac:dyDescent="0.25">
      <c r="A61" t="s">
        <v>13</v>
      </c>
      <c r="B61" t="s">
        <v>83</v>
      </c>
      <c r="C61" t="s">
        <v>79</v>
      </c>
      <c r="D61">
        <v>48</v>
      </c>
      <c r="E61">
        <v>4.8226000000000004</v>
      </c>
    </row>
    <row r="62" spans="1:5" x14ac:dyDescent="0.25">
      <c r="A62" t="s">
        <v>14</v>
      </c>
      <c r="B62" t="s">
        <v>80</v>
      </c>
      <c r="C62" t="s">
        <v>81</v>
      </c>
      <c r="D62">
        <v>82</v>
      </c>
      <c r="E62">
        <v>1.9023000000000001</v>
      </c>
    </row>
    <row r="63" spans="1:5" x14ac:dyDescent="0.25">
      <c r="A63" t="s">
        <v>14</v>
      </c>
      <c r="B63" t="s">
        <v>80</v>
      </c>
      <c r="C63" t="s">
        <v>79</v>
      </c>
      <c r="D63">
        <v>79</v>
      </c>
      <c r="E63">
        <v>4.1547999999999998</v>
      </c>
    </row>
    <row r="64" spans="1:5" x14ac:dyDescent="0.25">
      <c r="A64" t="s">
        <v>14</v>
      </c>
      <c r="B64" t="s">
        <v>82</v>
      </c>
      <c r="C64" t="s">
        <v>81</v>
      </c>
      <c r="D64">
        <v>304</v>
      </c>
      <c r="E64">
        <v>2.4741</v>
      </c>
    </row>
    <row r="65" spans="1:5" x14ac:dyDescent="0.25">
      <c r="A65" t="s">
        <v>14</v>
      </c>
      <c r="B65" t="s">
        <v>82</v>
      </c>
      <c r="C65" t="s">
        <v>79</v>
      </c>
      <c r="D65">
        <v>298</v>
      </c>
      <c r="E65">
        <v>3.9906000000000001</v>
      </c>
    </row>
    <row r="66" spans="1:5" x14ac:dyDescent="0.25">
      <c r="A66" t="s">
        <v>14</v>
      </c>
      <c r="B66" t="s">
        <v>83</v>
      </c>
      <c r="C66" t="s">
        <v>81</v>
      </c>
      <c r="D66">
        <v>223</v>
      </c>
      <c r="E66">
        <v>2.2595999999999998</v>
      </c>
    </row>
    <row r="67" spans="1:5" x14ac:dyDescent="0.25">
      <c r="A67" t="s">
        <v>14</v>
      </c>
      <c r="B67" t="s">
        <v>83</v>
      </c>
      <c r="C67" t="s">
        <v>79</v>
      </c>
      <c r="D67">
        <v>184</v>
      </c>
      <c r="E67">
        <v>4.6612</v>
      </c>
    </row>
    <row r="68" spans="1:5" x14ac:dyDescent="0.25">
      <c r="A68" t="s">
        <v>15</v>
      </c>
      <c r="B68" t="s">
        <v>82</v>
      </c>
      <c r="C68" t="s">
        <v>81</v>
      </c>
      <c r="D68">
        <v>2</v>
      </c>
      <c r="E68">
        <v>1</v>
      </c>
    </row>
    <row r="69" spans="1:5" x14ac:dyDescent="0.25">
      <c r="A69" t="s">
        <v>15</v>
      </c>
      <c r="B69" t="s">
        <v>82</v>
      </c>
      <c r="C69" t="s">
        <v>79</v>
      </c>
      <c r="D69">
        <v>2</v>
      </c>
      <c r="E69">
        <v>2</v>
      </c>
    </row>
    <row r="70" spans="1:5" x14ac:dyDescent="0.25">
      <c r="A70" t="s">
        <v>15</v>
      </c>
      <c r="B70" t="s">
        <v>83</v>
      </c>
      <c r="C70" t="s">
        <v>79</v>
      </c>
      <c r="D70">
        <v>1</v>
      </c>
      <c r="E70">
        <v>4</v>
      </c>
    </row>
    <row r="71" spans="1:5" x14ac:dyDescent="0.25">
      <c r="A71" t="s">
        <v>16</v>
      </c>
      <c r="B71" t="s">
        <v>80</v>
      </c>
      <c r="C71" t="s">
        <v>81</v>
      </c>
      <c r="D71">
        <v>23</v>
      </c>
      <c r="E71">
        <v>1.9271</v>
      </c>
    </row>
    <row r="72" spans="1:5" x14ac:dyDescent="0.25">
      <c r="A72" t="s">
        <v>16</v>
      </c>
      <c r="B72" t="s">
        <v>80</v>
      </c>
      <c r="C72" t="s">
        <v>79</v>
      </c>
      <c r="D72">
        <v>27</v>
      </c>
      <c r="E72">
        <v>4.3673000000000002</v>
      </c>
    </row>
    <row r="73" spans="1:5" x14ac:dyDescent="0.25">
      <c r="A73" t="s">
        <v>16</v>
      </c>
      <c r="B73" t="s">
        <v>82</v>
      </c>
      <c r="C73" t="s">
        <v>81</v>
      </c>
      <c r="D73">
        <v>81</v>
      </c>
      <c r="E73">
        <v>2.3599000000000001</v>
      </c>
    </row>
    <row r="74" spans="1:5" x14ac:dyDescent="0.25">
      <c r="A74" t="s">
        <v>16</v>
      </c>
      <c r="B74" t="s">
        <v>82</v>
      </c>
      <c r="C74" t="s">
        <v>79</v>
      </c>
      <c r="D74">
        <v>79</v>
      </c>
      <c r="E74">
        <v>3.7949000000000002</v>
      </c>
    </row>
    <row r="75" spans="1:5" x14ac:dyDescent="0.25">
      <c r="A75" t="s">
        <v>16</v>
      </c>
      <c r="B75" t="s">
        <v>83</v>
      </c>
      <c r="C75" t="s">
        <v>81</v>
      </c>
      <c r="D75">
        <v>52</v>
      </c>
      <c r="E75">
        <v>2.2625000000000002</v>
      </c>
    </row>
    <row r="76" spans="1:5" x14ac:dyDescent="0.25">
      <c r="A76" t="s">
        <v>16</v>
      </c>
      <c r="B76" t="s">
        <v>83</v>
      </c>
      <c r="C76" t="s">
        <v>79</v>
      </c>
      <c r="D76">
        <v>58</v>
      </c>
      <c r="E76">
        <v>4.7976999999999999</v>
      </c>
    </row>
    <row r="77" spans="1:5" x14ac:dyDescent="0.25">
      <c r="A77" t="s">
        <v>17</v>
      </c>
      <c r="B77" t="s">
        <v>80</v>
      </c>
      <c r="C77" t="s">
        <v>81</v>
      </c>
      <c r="D77">
        <v>16</v>
      </c>
      <c r="E77">
        <v>1.9718</v>
      </c>
    </row>
    <row r="78" spans="1:5" x14ac:dyDescent="0.25">
      <c r="A78" t="s">
        <v>17</v>
      </c>
      <c r="B78" t="s">
        <v>80</v>
      </c>
      <c r="C78" t="s">
        <v>79</v>
      </c>
      <c r="D78">
        <v>14</v>
      </c>
      <c r="E78">
        <v>2.8624999999999998</v>
      </c>
    </row>
    <row r="79" spans="1:5" x14ac:dyDescent="0.25">
      <c r="A79" t="s">
        <v>17</v>
      </c>
      <c r="B79" t="s">
        <v>82</v>
      </c>
      <c r="C79" t="s">
        <v>81</v>
      </c>
      <c r="D79">
        <v>39</v>
      </c>
      <c r="E79">
        <v>2.2551999999999999</v>
      </c>
    </row>
    <row r="80" spans="1:5" x14ac:dyDescent="0.25">
      <c r="A80" t="s">
        <v>17</v>
      </c>
      <c r="B80" t="s">
        <v>82</v>
      </c>
      <c r="C80" t="s">
        <v>79</v>
      </c>
      <c r="D80">
        <v>31</v>
      </c>
      <c r="E80">
        <v>4.4226999999999999</v>
      </c>
    </row>
    <row r="81" spans="1:5" x14ac:dyDescent="0.25">
      <c r="A81" t="s">
        <v>17</v>
      </c>
      <c r="B81" t="s">
        <v>83</v>
      </c>
      <c r="C81" t="s">
        <v>81</v>
      </c>
      <c r="D81">
        <v>26</v>
      </c>
      <c r="E81">
        <v>1.5062</v>
      </c>
    </row>
    <row r="82" spans="1:5" x14ac:dyDescent="0.25">
      <c r="A82" t="s">
        <v>17</v>
      </c>
      <c r="B82" t="s">
        <v>83</v>
      </c>
      <c r="C82" t="s">
        <v>79</v>
      </c>
      <c r="D82">
        <v>26</v>
      </c>
      <c r="E82">
        <v>4.3978000000000002</v>
      </c>
    </row>
    <row r="83" spans="1:5" x14ac:dyDescent="0.25">
      <c r="A83" t="s">
        <v>18</v>
      </c>
      <c r="B83" t="s">
        <v>80</v>
      </c>
      <c r="C83" t="s">
        <v>81</v>
      </c>
      <c r="D83">
        <v>3</v>
      </c>
      <c r="E83">
        <v>1</v>
      </c>
    </row>
    <row r="84" spans="1:5" x14ac:dyDescent="0.25">
      <c r="A84" t="s">
        <v>18</v>
      </c>
      <c r="B84" t="s">
        <v>80</v>
      </c>
      <c r="C84" t="s">
        <v>79</v>
      </c>
      <c r="D84">
        <v>6</v>
      </c>
      <c r="E84">
        <v>3.1017000000000001</v>
      </c>
    </row>
    <row r="85" spans="1:5" x14ac:dyDescent="0.25">
      <c r="A85" t="s">
        <v>18</v>
      </c>
      <c r="B85" t="s">
        <v>82</v>
      </c>
      <c r="C85" t="s">
        <v>81</v>
      </c>
      <c r="D85">
        <v>8</v>
      </c>
      <c r="E85">
        <v>1.7250000000000001</v>
      </c>
    </row>
    <row r="86" spans="1:5" x14ac:dyDescent="0.25">
      <c r="A86" t="s">
        <v>18</v>
      </c>
      <c r="B86" t="s">
        <v>82</v>
      </c>
      <c r="C86" t="s">
        <v>79</v>
      </c>
      <c r="D86">
        <v>10</v>
      </c>
      <c r="E86">
        <v>3.5638000000000001</v>
      </c>
    </row>
    <row r="87" spans="1:5" x14ac:dyDescent="0.25">
      <c r="A87" t="s">
        <v>18</v>
      </c>
      <c r="B87" t="s">
        <v>83</v>
      </c>
      <c r="C87" t="s">
        <v>81</v>
      </c>
      <c r="D87">
        <v>6</v>
      </c>
      <c r="E87">
        <v>1.9523999999999999</v>
      </c>
    </row>
    <row r="88" spans="1:5" x14ac:dyDescent="0.25">
      <c r="A88" t="s">
        <v>18</v>
      </c>
      <c r="B88" t="s">
        <v>83</v>
      </c>
      <c r="C88" t="s">
        <v>79</v>
      </c>
      <c r="D88">
        <v>5</v>
      </c>
      <c r="E88">
        <v>2.3370000000000002</v>
      </c>
    </row>
    <row r="89" spans="1:5" x14ac:dyDescent="0.25">
      <c r="A89" t="s">
        <v>19</v>
      </c>
      <c r="B89" t="s">
        <v>80</v>
      </c>
      <c r="C89" t="s">
        <v>81</v>
      </c>
      <c r="D89">
        <v>161</v>
      </c>
      <c r="E89">
        <v>2.0398000000000001</v>
      </c>
    </row>
    <row r="90" spans="1:5" x14ac:dyDescent="0.25">
      <c r="A90" t="s">
        <v>19</v>
      </c>
      <c r="B90" t="s">
        <v>80</v>
      </c>
      <c r="C90" t="s">
        <v>79</v>
      </c>
      <c r="D90">
        <v>132</v>
      </c>
      <c r="E90">
        <v>4.2694000000000001</v>
      </c>
    </row>
    <row r="91" spans="1:5" x14ac:dyDescent="0.25">
      <c r="A91" t="s">
        <v>19</v>
      </c>
      <c r="B91" t="s">
        <v>82</v>
      </c>
      <c r="C91" t="s">
        <v>81</v>
      </c>
      <c r="D91">
        <v>557</v>
      </c>
      <c r="E91">
        <v>2.3006000000000002</v>
      </c>
    </row>
    <row r="92" spans="1:5" x14ac:dyDescent="0.25">
      <c r="A92" t="s">
        <v>19</v>
      </c>
      <c r="B92" t="s">
        <v>82</v>
      </c>
      <c r="C92" t="s">
        <v>79</v>
      </c>
      <c r="D92">
        <v>486</v>
      </c>
      <c r="E92">
        <v>4.1500000000000004</v>
      </c>
    </row>
    <row r="93" spans="1:5" x14ac:dyDescent="0.25">
      <c r="A93" t="s">
        <v>19</v>
      </c>
      <c r="B93" t="s">
        <v>83</v>
      </c>
      <c r="C93" t="s">
        <v>81</v>
      </c>
      <c r="D93">
        <v>364</v>
      </c>
      <c r="E93">
        <v>2.2515999999999998</v>
      </c>
    </row>
    <row r="94" spans="1:5" x14ac:dyDescent="0.25">
      <c r="A94" t="s">
        <v>19</v>
      </c>
      <c r="B94" t="s">
        <v>83</v>
      </c>
      <c r="C94" t="s">
        <v>79</v>
      </c>
      <c r="D94">
        <v>371</v>
      </c>
      <c r="E94">
        <v>3.9882</v>
      </c>
    </row>
    <row r="95" spans="1:5" x14ac:dyDescent="0.25">
      <c r="A95" t="s">
        <v>20</v>
      </c>
      <c r="B95" t="s">
        <v>80</v>
      </c>
      <c r="C95" t="s">
        <v>81</v>
      </c>
      <c r="D95">
        <v>28</v>
      </c>
      <c r="E95">
        <v>2.0941000000000001</v>
      </c>
    </row>
    <row r="96" spans="1:5" x14ac:dyDescent="0.25">
      <c r="A96" t="s">
        <v>20</v>
      </c>
      <c r="B96" t="s">
        <v>80</v>
      </c>
      <c r="C96" t="s">
        <v>79</v>
      </c>
      <c r="D96">
        <v>39</v>
      </c>
      <c r="E96">
        <v>3.9758</v>
      </c>
    </row>
    <row r="97" spans="1:5" x14ac:dyDescent="0.25">
      <c r="A97" t="s">
        <v>20</v>
      </c>
      <c r="B97" t="s">
        <v>82</v>
      </c>
      <c r="C97" t="s">
        <v>81</v>
      </c>
      <c r="D97">
        <v>105</v>
      </c>
      <c r="E97">
        <v>2.3380999999999998</v>
      </c>
    </row>
    <row r="98" spans="1:5" x14ac:dyDescent="0.25">
      <c r="A98" t="s">
        <v>20</v>
      </c>
      <c r="B98" t="s">
        <v>82</v>
      </c>
      <c r="C98" t="s">
        <v>79</v>
      </c>
      <c r="D98">
        <v>87</v>
      </c>
      <c r="E98">
        <v>3.9180999999999999</v>
      </c>
    </row>
    <row r="99" spans="1:5" x14ac:dyDescent="0.25">
      <c r="A99" t="s">
        <v>20</v>
      </c>
      <c r="B99" t="s">
        <v>83</v>
      </c>
      <c r="C99" t="s">
        <v>81</v>
      </c>
      <c r="D99">
        <v>65</v>
      </c>
      <c r="E99">
        <v>2.7118000000000002</v>
      </c>
    </row>
    <row r="100" spans="1:5" x14ac:dyDescent="0.25">
      <c r="A100" t="s">
        <v>20</v>
      </c>
      <c r="B100" t="s">
        <v>83</v>
      </c>
      <c r="C100" t="s">
        <v>79</v>
      </c>
      <c r="D100">
        <v>65</v>
      </c>
      <c r="E100">
        <v>3.7048999999999999</v>
      </c>
    </row>
    <row r="101" spans="1:5" x14ac:dyDescent="0.25">
      <c r="A101" t="s">
        <v>21</v>
      </c>
      <c r="B101" t="s">
        <v>80</v>
      </c>
      <c r="C101" t="s">
        <v>81</v>
      </c>
      <c r="D101">
        <v>148</v>
      </c>
      <c r="E101">
        <v>2.3378999999999999</v>
      </c>
    </row>
    <row r="102" spans="1:5" x14ac:dyDescent="0.25">
      <c r="A102" t="s">
        <v>21</v>
      </c>
      <c r="B102" t="s">
        <v>80</v>
      </c>
      <c r="C102" t="s">
        <v>79</v>
      </c>
      <c r="D102">
        <v>122</v>
      </c>
      <c r="E102">
        <v>3.6898</v>
      </c>
    </row>
    <row r="103" spans="1:5" x14ac:dyDescent="0.25">
      <c r="A103" t="s">
        <v>21</v>
      </c>
      <c r="B103" t="s">
        <v>82</v>
      </c>
      <c r="C103" t="s">
        <v>81</v>
      </c>
      <c r="D103">
        <v>477</v>
      </c>
      <c r="E103">
        <v>2.3296999999999999</v>
      </c>
    </row>
    <row r="104" spans="1:5" x14ac:dyDescent="0.25">
      <c r="A104" t="s">
        <v>21</v>
      </c>
      <c r="B104" t="s">
        <v>82</v>
      </c>
      <c r="C104" t="s">
        <v>79</v>
      </c>
      <c r="D104">
        <v>479</v>
      </c>
      <c r="E104">
        <v>4.2133000000000003</v>
      </c>
    </row>
    <row r="105" spans="1:5" x14ac:dyDescent="0.25">
      <c r="A105" t="s">
        <v>21</v>
      </c>
      <c r="B105" t="s">
        <v>83</v>
      </c>
      <c r="C105" t="s">
        <v>81</v>
      </c>
      <c r="D105">
        <v>346</v>
      </c>
      <c r="E105">
        <v>2.4447000000000001</v>
      </c>
    </row>
    <row r="106" spans="1:5" x14ac:dyDescent="0.25">
      <c r="A106" t="s">
        <v>21</v>
      </c>
      <c r="B106" t="s">
        <v>83</v>
      </c>
      <c r="C106" t="s">
        <v>79</v>
      </c>
      <c r="D106">
        <v>313</v>
      </c>
      <c r="E106">
        <v>3.9609000000000001</v>
      </c>
    </row>
    <row r="107" spans="1:5" x14ac:dyDescent="0.25">
      <c r="A107" t="s">
        <v>22</v>
      </c>
      <c r="B107" t="s">
        <v>80</v>
      </c>
      <c r="C107" t="s">
        <v>81</v>
      </c>
      <c r="D107">
        <v>28</v>
      </c>
      <c r="E107">
        <v>2.0676000000000001</v>
      </c>
    </row>
    <row r="108" spans="1:5" x14ac:dyDescent="0.25">
      <c r="A108" t="s">
        <v>22</v>
      </c>
      <c r="B108" t="s">
        <v>80</v>
      </c>
      <c r="C108" t="s">
        <v>79</v>
      </c>
      <c r="D108">
        <v>25</v>
      </c>
      <c r="E108">
        <v>4.8348000000000004</v>
      </c>
    </row>
    <row r="109" spans="1:5" x14ac:dyDescent="0.25">
      <c r="A109" t="s">
        <v>22</v>
      </c>
      <c r="B109" t="s">
        <v>82</v>
      </c>
      <c r="C109" t="s">
        <v>81</v>
      </c>
      <c r="D109">
        <v>109</v>
      </c>
      <c r="E109">
        <v>2.6638000000000002</v>
      </c>
    </row>
    <row r="110" spans="1:5" x14ac:dyDescent="0.25">
      <c r="A110" t="s">
        <v>22</v>
      </c>
      <c r="B110" t="s">
        <v>82</v>
      </c>
      <c r="C110" t="s">
        <v>79</v>
      </c>
      <c r="D110">
        <v>95</v>
      </c>
      <c r="E110">
        <v>4.3307000000000002</v>
      </c>
    </row>
    <row r="111" spans="1:5" x14ac:dyDescent="0.25">
      <c r="A111" t="s">
        <v>22</v>
      </c>
      <c r="B111" t="s">
        <v>83</v>
      </c>
      <c r="C111" t="s">
        <v>81</v>
      </c>
      <c r="D111">
        <v>69</v>
      </c>
      <c r="E111">
        <v>2.2345999999999999</v>
      </c>
    </row>
    <row r="112" spans="1:5" x14ac:dyDescent="0.25">
      <c r="A112" t="s">
        <v>22</v>
      </c>
      <c r="B112" t="s">
        <v>83</v>
      </c>
      <c r="C112" t="s">
        <v>79</v>
      </c>
      <c r="D112">
        <v>80</v>
      </c>
      <c r="E112">
        <v>4.0731999999999999</v>
      </c>
    </row>
    <row r="113" spans="1:5" x14ac:dyDescent="0.25">
      <c r="A113" t="s">
        <v>23</v>
      </c>
      <c r="B113" t="s">
        <v>80</v>
      </c>
      <c r="C113" t="s">
        <v>81</v>
      </c>
      <c r="D113">
        <v>39</v>
      </c>
      <c r="E113">
        <v>1.8867</v>
      </c>
    </row>
    <row r="114" spans="1:5" x14ac:dyDescent="0.25">
      <c r="A114" t="s">
        <v>23</v>
      </c>
      <c r="B114" t="s">
        <v>80</v>
      </c>
      <c r="C114" t="s">
        <v>79</v>
      </c>
      <c r="D114">
        <v>21</v>
      </c>
      <c r="E114">
        <v>3.1520999999999999</v>
      </c>
    </row>
    <row r="115" spans="1:5" x14ac:dyDescent="0.25">
      <c r="A115" t="s">
        <v>23</v>
      </c>
      <c r="B115" t="s">
        <v>82</v>
      </c>
      <c r="C115" t="s">
        <v>81</v>
      </c>
      <c r="D115">
        <v>108</v>
      </c>
      <c r="E115">
        <v>2.3871000000000002</v>
      </c>
    </row>
    <row r="116" spans="1:5" x14ac:dyDescent="0.25">
      <c r="A116" t="s">
        <v>23</v>
      </c>
      <c r="B116" t="s">
        <v>82</v>
      </c>
      <c r="C116" t="s">
        <v>79</v>
      </c>
      <c r="D116">
        <v>104</v>
      </c>
      <c r="E116">
        <v>4.1101999999999999</v>
      </c>
    </row>
    <row r="117" spans="1:5" x14ac:dyDescent="0.25">
      <c r="A117" t="s">
        <v>23</v>
      </c>
      <c r="B117" t="s">
        <v>83</v>
      </c>
      <c r="C117" t="s">
        <v>81</v>
      </c>
      <c r="D117">
        <v>87</v>
      </c>
      <c r="E117">
        <v>2.2551999999999999</v>
      </c>
    </row>
    <row r="118" spans="1:5" x14ac:dyDescent="0.25">
      <c r="A118" t="s">
        <v>23</v>
      </c>
      <c r="B118" t="s">
        <v>83</v>
      </c>
      <c r="C118" t="s">
        <v>79</v>
      </c>
      <c r="D118">
        <v>62</v>
      </c>
      <c r="E118">
        <v>4.57</v>
      </c>
    </row>
    <row r="119" spans="1:5" x14ac:dyDescent="0.25">
      <c r="A119" t="s">
        <v>24</v>
      </c>
      <c r="B119" t="s">
        <v>80</v>
      </c>
      <c r="C119" t="s">
        <v>81</v>
      </c>
      <c r="D119">
        <v>265</v>
      </c>
      <c r="E119">
        <v>2.4399000000000002</v>
      </c>
    </row>
    <row r="120" spans="1:5" x14ac:dyDescent="0.25">
      <c r="A120" t="s">
        <v>24</v>
      </c>
      <c r="B120" t="s">
        <v>80</v>
      </c>
      <c r="C120" t="s">
        <v>79</v>
      </c>
      <c r="D120">
        <v>284</v>
      </c>
      <c r="E120">
        <v>3.9939</v>
      </c>
    </row>
    <row r="121" spans="1:5" x14ac:dyDescent="0.25">
      <c r="A121" t="s">
        <v>24</v>
      </c>
      <c r="B121" t="s">
        <v>82</v>
      </c>
      <c r="C121" t="s">
        <v>81</v>
      </c>
      <c r="D121">
        <v>942</v>
      </c>
      <c r="E121">
        <v>2.2288000000000001</v>
      </c>
    </row>
    <row r="122" spans="1:5" x14ac:dyDescent="0.25">
      <c r="A122" t="s">
        <v>24</v>
      </c>
      <c r="B122" t="s">
        <v>82</v>
      </c>
      <c r="C122" t="s">
        <v>79</v>
      </c>
      <c r="D122">
        <v>863</v>
      </c>
      <c r="E122">
        <v>4.2233000000000001</v>
      </c>
    </row>
    <row r="123" spans="1:5" x14ac:dyDescent="0.25">
      <c r="A123" t="s">
        <v>24</v>
      </c>
      <c r="B123" t="s">
        <v>83</v>
      </c>
      <c r="C123" t="s">
        <v>81</v>
      </c>
      <c r="D123">
        <v>656</v>
      </c>
      <c r="E123">
        <v>2.3165</v>
      </c>
    </row>
    <row r="124" spans="1:5" x14ac:dyDescent="0.25">
      <c r="A124" t="s">
        <v>24</v>
      </c>
      <c r="B124" t="s">
        <v>83</v>
      </c>
      <c r="C124" t="s">
        <v>79</v>
      </c>
      <c r="D124">
        <v>618</v>
      </c>
      <c r="E124">
        <v>4.0457000000000001</v>
      </c>
    </row>
    <row r="125" spans="1:5" x14ac:dyDescent="0.25">
      <c r="A125" t="s">
        <v>25</v>
      </c>
      <c r="B125" t="s">
        <v>80</v>
      </c>
      <c r="C125" t="s">
        <v>81</v>
      </c>
      <c r="D125">
        <v>39</v>
      </c>
      <c r="E125">
        <v>2.0648</v>
      </c>
    </row>
    <row r="126" spans="1:5" x14ac:dyDescent="0.25">
      <c r="A126" t="s">
        <v>25</v>
      </c>
      <c r="B126" t="s">
        <v>80</v>
      </c>
      <c r="C126" t="s">
        <v>79</v>
      </c>
      <c r="D126">
        <v>28</v>
      </c>
      <c r="E126">
        <v>3.5842999999999998</v>
      </c>
    </row>
    <row r="127" spans="1:5" x14ac:dyDescent="0.25">
      <c r="A127" t="s">
        <v>25</v>
      </c>
      <c r="B127" t="s">
        <v>82</v>
      </c>
      <c r="C127" t="s">
        <v>81</v>
      </c>
      <c r="D127">
        <v>98</v>
      </c>
      <c r="E127">
        <v>2.2616000000000001</v>
      </c>
    </row>
    <row r="128" spans="1:5" x14ac:dyDescent="0.25">
      <c r="A128" t="s">
        <v>25</v>
      </c>
      <c r="B128" t="s">
        <v>82</v>
      </c>
      <c r="C128" t="s">
        <v>79</v>
      </c>
      <c r="D128">
        <v>115</v>
      </c>
      <c r="E128">
        <v>4.3638000000000003</v>
      </c>
    </row>
    <row r="129" spans="1:5" x14ac:dyDescent="0.25">
      <c r="A129" t="s">
        <v>25</v>
      </c>
      <c r="B129" t="s">
        <v>83</v>
      </c>
      <c r="C129" t="s">
        <v>81</v>
      </c>
      <c r="D129">
        <v>84</v>
      </c>
      <c r="E129">
        <v>2.2595000000000001</v>
      </c>
    </row>
    <row r="130" spans="1:5" x14ac:dyDescent="0.25">
      <c r="A130" t="s">
        <v>25</v>
      </c>
      <c r="B130" t="s">
        <v>83</v>
      </c>
      <c r="C130" t="s">
        <v>79</v>
      </c>
      <c r="D130">
        <v>71</v>
      </c>
      <c r="E130">
        <v>4.0670999999999999</v>
      </c>
    </row>
    <row r="131" spans="1:5" x14ac:dyDescent="0.25">
      <c r="A131" t="s">
        <v>26</v>
      </c>
      <c r="B131" t="s">
        <v>80</v>
      </c>
      <c r="C131" t="s">
        <v>81</v>
      </c>
      <c r="D131">
        <v>14</v>
      </c>
      <c r="E131">
        <v>2.2061000000000002</v>
      </c>
    </row>
    <row r="132" spans="1:5" x14ac:dyDescent="0.25">
      <c r="A132" t="s">
        <v>26</v>
      </c>
      <c r="B132" t="s">
        <v>80</v>
      </c>
      <c r="C132" t="s">
        <v>79</v>
      </c>
      <c r="D132">
        <v>7</v>
      </c>
      <c r="E132">
        <v>3.3469000000000002</v>
      </c>
    </row>
    <row r="133" spans="1:5" x14ac:dyDescent="0.25">
      <c r="A133" t="s">
        <v>26</v>
      </c>
      <c r="B133" t="s">
        <v>82</v>
      </c>
      <c r="C133" t="s">
        <v>81</v>
      </c>
      <c r="D133">
        <v>50</v>
      </c>
      <c r="E133">
        <v>2.0691999999999999</v>
      </c>
    </row>
    <row r="134" spans="1:5" x14ac:dyDescent="0.25">
      <c r="A134" t="s">
        <v>26</v>
      </c>
      <c r="B134" t="s">
        <v>82</v>
      </c>
      <c r="C134" t="s">
        <v>79</v>
      </c>
      <c r="D134">
        <v>34</v>
      </c>
      <c r="E134">
        <v>3.9634999999999998</v>
      </c>
    </row>
    <row r="135" spans="1:5" x14ac:dyDescent="0.25">
      <c r="A135" t="s">
        <v>26</v>
      </c>
      <c r="B135" t="s">
        <v>83</v>
      </c>
      <c r="C135" t="s">
        <v>81</v>
      </c>
      <c r="D135">
        <v>34</v>
      </c>
      <c r="E135">
        <v>2.0836000000000001</v>
      </c>
    </row>
    <row r="136" spans="1:5" x14ac:dyDescent="0.25">
      <c r="A136" t="s">
        <v>26</v>
      </c>
      <c r="B136" t="s">
        <v>83</v>
      </c>
      <c r="C136" t="s">
        <v>79</v>
      </c>
      <c r="D136">
        <v>23</v>
      </c>
      <c r="E136">
        <v>4.5180999999999996</v>
      </c>
    </row>
    <row r="137" spans="1:5" x14ac:dyDescent="0.25">
      <c r="A137" t="s">
        <v>27</v>
      </c>
      <c r="B137" t="s">
        <v>80</v>
      </c>
      <c r="C137" t="s">
        <v>81</v>
      </c>
      <c r="D137">
        <v>4</v>
      </c>
      <c r="E137">
        <v>2.7391000000000001</v>
      </c>
    </row>
    <row r="138" spans="1:5" x14ac:dyDescent="0.25">
      <c r="A138" t="s">
        <v>27</v>
      </c>
      <c r="B138" t="s">
        <v>80</v>
      </c>
      <c r="C138" t="s">
        <v>79</v>
      </c>
      <c r="D138">
        <v>3</v>
      </c>
      <c r="E138">
        <v>4.1702000000000004</v>
      </c>
    </row>
    <row r="139" spans="1:5" x14ac:dyDescent="0.25">
      <c r="A139" t="s">
        <v>27</v>
      </c>
      <c r="B139" t="s">
        <v>82</v>
      </c>
      <c r="C139" t="s">
        <v>81</v>
      </c>
      <c r="D139">
        <v>13</v>
      </c>
      <c r="E139">
        <v>2.1</v>
      </c>
    </row>
    <row r="140" spans="1:5" x14ac:dyDescent="0.25">
      <c r="A140" t="s">
        <v>27</v>
      </c>
      <c r="B140" t="s">
        <v>82</v>
      </c>
      <c r="C140" t="s">
        <v>79</v>
      </c>
      <c r="D140">
        <v>10</v>
      </c>
      <c r="E140">
        <v>3.2029000000000001</v>
      </c>
    </row>
    <row r="141" spans="1:5" x14ac:dyDescent="0.25">
      <c r="A141" t="s">
        <v>27</v>
      </c>
      <c r="B141" t="s">
        <v>83</v>
      </c>
      <c r="C141" t="s">
        <v>81</v>
      </c>
      <c r="D141">
        <v>6</v>
      </c>
      <c r="E141">
        <v>2.5691999999999999</v>
      </c>
    </row>
    <row r="142" spans="1:5" x14ac:dyDescent="0.25">
      <c r="A142" t="s">
        <v>27</v>
      </c>
      <c r="B142" t="s">
        <v>83</v>
      </c>
      <c r="C142" t="s">
        <v>79</v>
      </c>
      <c r="D142">
        <v>6</v>
      </c>
      <c r="E142">
        <v>6.2222</v>
      </c>
    </row>
    <row r="143" spans="1:5" x14ac:dyDescent="0.25">
      <c r="A143" t="s">
        <v>28</v>
      </c>
      <c r="B143" t="s">
        <v>80</v>
      </c>
      <c r="C143" t="s">
        <v>81</v>
      </c>
      <c r="D143">
        <v>32</v>
      </c>
      <c r="E143">
        <v>2.3942999999999999</v>
      </c>
    </row>
    <row r="144" spans="1:5" x14ac:dyDescent="0.25">
      <c r="A144" t="s">
        <v>28</v>
      </c>
      <c r="B144" t="s">
        <v>80</v>
      </c>
      <c r="C144" t="s">
        <v>79</v>
      </c>
      <c r="D144">
        <v>25</v>
      </c>
      <c r="E144">
        <v>3.3614000000000002</v>
      </c>
    </row>
    <row r="145" spans="1:5" x14ac:dyDescent="0.25">
      <c r="A145" t="s">
        <v>28</v>
      </c>
      <c r="B145" t="s">
        <v>82</v>
      </c>
      <c r="C145" t="s">
        <v>81</v>
      </c>
      <c r="D145">
        <v>90</v>
      </c>
      <c r="E145">
        <v>2.4382000000000001</v>
      </c>
    </row>
    <row r="146" spans="1:5" x14ac:dyDescent="0.25">
      <c r="A146" t="s">
        <v>28</v>
      </c>
      <c r="B146" t="s">
        <v>82</v>
      </c>
      <c r="C146" t="s">
        <v>79</v>
      </c>
      <c r="D146">
        <v>94</v>
      </c>
      <c r="E146">
        <v>3.7987000000000002</v>
      </c>
    </row>
    <row r="147" spans="1:5" x14ac:dyDescent="0.25">
      <c r="A147" t="s">
        <v>28</v>
      </c>
      <c r="B147" t="s">
        <v>83</v>
      </c>
      <c r="C147" t="s">
        <v>81</v>
      </c>
      <c r="D147">
        <v>59</v>
      </c>
      <c r="E147">
        <v>2.6819000000000002</v>
      </c>
    </row>
    <row r="148" spans="1:5" x14ac:dyDescent="0.25">
      <c r="A148" t="s">
        <v>28</v>
      </c>
      <c r="B148" t="s">
        <v>83</v>
      </c>
      <c r="C148" t="s">
        <v>79</v>
      </c>
      <c r="D148">
        <v>47</v>
      </c>
      <c r="E148">
        <v>4.9420000000000002</v>
      </c>
    </row>
    <row r="149" spans="1:5" x14ac:dyDescent="0.25">
      <c r="A149" t="s">
        <v>29</v>
      </c>
      <c r="B149" t="s">
        <v>80</v>
      </c>
      <c r="C149" t="s">
        <v>81</v>
      </c>
      <c r="D149">
        <v>25</v>
      </c>
      <c r="E149">
        <v>2.8443999999999998</v>
      </c>
    </row>
    <row r="150" spans="1:5" x14ac:dyDescent="0.25">
      <c r="A150" t="s">
        <v>29</v>
      </c>
      <c r="B150" t="s">
        <v>80</v>
      </c>
      <c r="C150" t="s">
        <v>79</v>
      </c>
      <c r="D150">
        <v>15</v>
      </c>
      <c r="E150">
        <v>3.7040000000000002</v>
      </c>
    </row>
    <row r="151" spans="1:5" x14ac:dyDescent="0.25">
      <c r="A151" t="s">
        <v>29</v>
      </c>
      <c r="B151" t="s">
        <v>82</v>
      </c>
      <c r="C151" t="s">
        <v>81</v>
      </c>
      <c r="D151">
        <v>60</v>
      </c>
      <c r="E151">
        <v>2.8003</v>
      </c>
    </row>
    <row r="152" spans="1:5" x14ac:dyDescent="0.25">
      <c r="A152" t="s">
        <v>29</v>
      </c>
      <c r="B152" t="s">
        <v>82</v>
      </c>
      <c r="C152" t="s">
        <v>79</v>
      </c>
      <c r="D152">
        <v>63</v>
      </c>
      <c r="E152">
        <v>3.5836000000000001</v>
      </c>
    </row>
    <row r="153" spans="1:5" x14ac:dyDescent="0.25">
      <c r="A153" t="s">
        <v>29</v>
      </c>
      <c r="B153" t="s">
        <v>83</v>
      </c>
      <c r="C153" t="s">
        <v>81</v>
      </c>
      <c r="D153">
        <v>46</v>
      </c>
      <c r="E153">
        <v>2.5421999999999998</v>
      </c>
    </row>
    <row r="154" spans="1:5" x14ac:dyDescent="0.25">
      <c r="A154" t="s">
        <v>29</v>
      </c>
      <c r="B154" t="s">
        <v>83</v>
      </c>
      <c r="C154" t="s">
        <v>79</v>
      </c>
      <c r="D154">
        <v>43</v>
      </c>
      <c r="E154">
        <v>3.7229000000000001</v>
      </c>
    </row>
    <row r="155" spans="1:5" x14ac:dyDescent="0.25">
      <c r="A155" t="s">
        <v>30</v>
      </c>
      <c r="B155" t="s">
        <v>80</v>
      </c>
      <c r="C155" t="s">
        <v>81</v>
      </c>
      <c r="D155">
        <v>50</v>
      </c>
      <c r="E155">
        <v>2.5886999999999998</v>
      </c>
    </row>
    <row r="156" spans="1:5" x14ac:dyDescent="0.25">
      <c r="A156" t="s">
        <v>30</v>
      </c>
      <c r="B156" t="s">
        <v>80</v>
      </c>
      <c r="C156" t="s">
        <v>79</v>
      </c>
      <c r="D156">
        <v>38</v>
      </c>
      <c r="E156">
        <v>4.3861999999999997</v>
      </c>
    </row>
    <row r="157" spans="1:5" x14ac:dyDescent="0.25">
      <c r="A157" t="s">
        <v>30</v>
      </c>
      <c r="B157" t="s">
        <v>82</v>
      </c>
      <c r="C157" t="s">
        <v>81</v>
      </c>
      <c r="D157">
        <v>154</v>
      </c>
      <c r="E157">
        <v>2.2185999999999999</v>
      </c>
    </row>
    <row r="158" spans="1:5" x14ac:dyDescent="0.25">
      <c r="A158" t="s">
        <v>30</v>
      </c>
      <c r="B158" t="s">
        <v>82</v>
      </c>
      <c r="C158" t="s">
        <v>79</v>
      </c>
      <c r="D158">
        <v>175</v>
      </c>
      <c r="E158">
        <v>4.1215999999999999</v>
      </c>
    </row>
    <row r="159" spans="1:5" x14ac:dyDescent="0.25">
      <c r="A159" t="s">
        <v>30</v>
      </c>
      <c r="B159" t="s">
        <v>83</v>
      </c>
      <c r="C159" t="s">
        <v>81</v>
      </c>
      <c r="D159">
        <v>110</v>
      </c>
      <c r="E159">
        <v>2.3913000000000002</v>
      </c>
    </row>
    <row r="160" spans="1:5" x14ac:dyDescent="0.25">
      <c r="A160" t="s">
        <v>30</v>
      </c>
      <c r="B160" t="s">
        <v>83</v>
      </c>
      <c r="C160" t="s">
        <v>79</v>
      </c>
      <c r="D160">
        <v>108</v>
      </c>
      <c r="E160">
        <v>3.7435</v>
      </c>
    </row>
    <row r="161" spans="1:5" x14ac:dyDescent="0.25">
      <c r="A161" t="s">
        <v>31</v>
      </c>
      <c r="B161" t="s">
        <v>80</v>
      </c>
      <c r="C161" t="s">
        <v>81</v>
      </c>
      <c r="D161">
        <v>7</v>
      </c>
      <c r="E161">
        <v>2.6383000000000001</v>
      </c>
    </row>
    <row r="162" spans="1:5" x14ac:dyDescent="0.25">
      <c r="A162" t="s">
        <v>31</v>
      </c>
      <c r="B162" t="s">
        <v>80</v>
      </c>
      <c r="C162" t="s">
        <v>79</v>
      </c>
      <c r="D162">
        <v>10</v>
      </c>
      <c r="E162">
        <v>3.589</v>
      </c>
    </row>
    <row r="163" spans="1:5" x14ac:dyDescent="0.25">
      <c r="A163" t="s">
        <v>31</v>
      </c>
      <c r="B163" t="s">
        <v>82</v>
      </c>
      <c r="C163" t="s">
        <v>81</v>
      </c>
      <c r="D163">
        <v>37</v>
      </c>
      <c r="E163">
        <v>2.3733</v>
      </c>
    </row>
    <row r="164" spans="1:5" x14ac:dyDescent="0.25">
      <c r="A164" t="s">
        <v>31</v>
      </c>
      <c r="B164" t="s">
        <v>82</v>
      </c>
      <c r="C164" t="s">
        <v>79</v>
      </c>
      <c r="D164">
        <v>41</v>
      </c>
      <c r="E164">
        <v>3.4992000000000001</v>
      </c>
    </row>
    <row r="165" spans="1:5" x14ac:dyDescent="0.25">
      <c r="A165" t="s">
        <v>31</v>
      </c>
      <c r="B165" t="s">
        <v>83</v>
      </c>
      <c r="C165" t="s">
        <v>81</v>
      </c>
      <c r="D165">
        <v>21</v>
      </c>
      <c r="E165">
        <v>3.3273999999999999</v>
      </c>
    </row>
    <row r="166" spans="1:5" x14ac:dyDescent="0.25">
      <c r="A166" t="s">
        <v>31</v>
      </c>
      <c r="B166" t="s">
        <v>83</v>
      </c>
      <c r="C166" t="s">
        <v>79</v>
      </c>
      <c r="D166">
        <v>36</v>
      </c>
      <c r="E166">
        <v>3.6637</v>
      </c>
    </row>
    <row r="167" spans="1:5" x14ac:dyDescent="0.25">
      <c r="A167" t="s">
        <v>32</v>
      </c>
      <c r="B167" t="s">
        <v>80</v>
      </c>
      <c r="C167" t="s">
        <v>81</v>
      </c>
      <c r="D167">
        <v>531</v>
      </c>
      <c r="E167">
        <v>2.3727999999999998</v>
      </c>
    </row>
    <row r="168" spans="1:5" x14ac:dyDescent="0.25">
      <c r="A168" t="s">
        <v>32</v>
      </c>
      <c r="B168" t="s">
        <v>80</v>
      </c>
      <c r="C168" t="s">
        <v>79</v>
      </c>
      <c r="D168">
        <v>468</v>
      </c>
      <c r="E168">
        <v>4.2267999999999999</v>
      </c>
    </row>
    <row r="169" spans="1:5" x14ac:dyDescent="0.25">
      <c r="A169" t="s">
        <v>32</v>
      </c>
      <c r="B169" t="s">
        <v>82</v>
      </c>
      <c r="C169" t="s">
        <v>81</v>
      </c>
      <c r="D169">
        <v>1842</v>
      </c>
      <c r="E169">
        <v>2.3624000000000001</v>
      </c>
    </row>
    <row r="170" spans="1:5" x14ac:dyDescent="0.25">
      <c r="A170" t="s">
        <v>32</v>
      </c>
      <c r="B170" t="s">
        <v>82</v>
      </c>
      <c r="C170" t="s">
        <v>79</v>
      </c>
      <c r="D170">
        <v>1676</v>
      </c>
      <c r="E170">
        <v>4.1505000000000001</v>
      </c>
    </row>
    <row r="171" spans="1:5" x14ac:dyDescent="0.25">
      <c r="A171" t="s">
        <v>32</v>
      </c>
      <c r="B171" t="s">
        <v>83</v>
      </c>
      <c r="C171" t="s">
        <v>81</v>
      </c>
      <c r="D171">
        <v>1349</v>
      </c>
      <c r="E171">
        <v>2.4085999999999999</v>
      </c>
    </row>
    <row r="172" spans="1:5" x14ac:dyDescent="0.25">
      <c r="A172" t="s">
        <v>32</v>
      </c>
      <c r="B172" t="s">
        <v>83</v>
      </c>
      <c r="C172" t="s">
        <v>79</v>
      </c>
      <c r="D172">
        <v>1128</v>
      </c>
      <c r="E172">
        <v>4.2217000000000002</v>
      </c>
    </row>
    <row r="173" spans="1:5" x14ac:dyDescent="0.25">
      <c r="A173" t="s">
        <v>33</v>
      </c>
      <c r="B173" t="s">
        <v>80</v>
      </c>
      <c r="C173" t="s">
        <v>81</v>
      </c>
      <c r="D173">
        <v>2</v>
      </c>
      <c r="E173">
        <v>1.8125</v>
      </c>
    </row>
    <row r="174" spans="1:5" x14ac:dyDescent="0.25">
      <c r="A174" t="s">
        <v>33</v>
      </c>
      <c r="B174" t="s">
        <v>80</v>
      </c>
      <c r="C174" t="s">
        <v>79</v>
      </c>
      <c r="D174">
        <v>8</v>
      </c>
      <c r="E174">
        <v>4.4530000000000003</v>
      </c>
    </row>
    <row r="175" spans="1:5" x14ac:dyDescent="0.25">
      <c r="A175" t="s">
        <v>33</v>
      </c>
      <c r="B175" t="s">
        <v>82</v>
      </c>
      <c r="C175" t="s">
        <v>81</v>
      </c>
      <c r="D175">
        <v>16</v>
      </c>
      <c r="E175">
        <v>2.1589</v>
      </c>
    </row>
    <row r="176" spans="1:5" x14ac:dyDescent="0.25">
      <c r="A176" t="s">
        <v>33</v>
      </c>
      <c r="B176" t="s">
        <v>82</v>
      </c>
      <c r="C176" t="s">
        <v>79</v>
      </c>
      <c r="D176">
        <v>16</v>
      </c>
      <c r="E176">
        <v>4.1073000000000004</v>
      </c>
    </row>
    <row r="177" spans="1:5" x14ac:dyDescent="0.25">
      <c r="A177" t="s">
        <v>33</v>
      </c>
      <c r="B177" t="s">
        <v>83</v>
      </c>
      <c r="C177" t="s">
        <v>81</v>
      </c>
      <c r="D177">
        <v>4</v>
      </c>
      <c r="E177">
        <v>3.1053000000000002</v>
      </c>
    </row>
    <row r="178" spans="1:5" x14ac:dyDescent="0.25">
      <c r="A178" t="s">
        <v>33</v>
      </c>
      <c r="B178" t="s">
        <v>83</v>
      </c>
      <c r="C178" t="s">
        <v>79</v>
      </c>
      <c r="D178">
        <v>10</v>
      </c>
      <c r="E178">
        <v>4.3033999999999999</v>
      </c>
    </row>
    <row r="179" spans="1:5" x14ac:dyDescent="0.25">
      <c r="A179" t="s">
        <v>34</v>
      </c>
      <c r="B179" t="s">
        <v>80</v>
      </c>
      <c r="C179" t="s">
        <v>81</v>
      </c>
      <c r="D179">
        <v>62</v>
      </c>
      <c r="E179">
        <v>2.2557999999999998</v>
      </c>
    </row>
    <row r="180" spans="1:5" x14ac:dyDescent="0.25">
      <c r="A180" t="s">
        <v>34</v>
      </c>
      <c r="B180" t="s">
        <v>80</v>
      </c>
      <c r="C180" t="s">
        <v>79</v>
      </c>
      <c r="D180">
        <v>64</v>
      </c>
      <c r="E180">
        <v>3.6499000000000001</v>
      </c>
    </row>
    <row r="181" spans="1:5" x14ac:dyDescent="0.25">
      <c r="A181" t="s">
        <v>34</v>
      </c>
      <c r="B181" t="s">
        <v>82</v>
      </c>
      <c r="C181" t="s">
        <v>81</v>
      </c>
      <c r="D181">
        <v>227</v>
      </c>
      <c r="E181">
        <v>2.4651999999999998</v>
      </c>
    </row>
    <row r="182" spans="1:5" x14ac:dyDescent="0.25">
      <c r="A182" t="s">
        <v>34</v>
      </c>
      <c r="B182" t="s">
        <v>82</v>
      </c>
      <c r="C182" t="s">
        <v>79</v>
      </c>
      <c r="D182">
        <v>207</v>
      </c>
      <c r="E182">
        <v>4.0186999999999999</v>
      </c>
    </row>
    <row r="183" spans="1:5" x14ac:dyDescent="0.25">
      <c r="A183" t="s">
        <v>34</v>
      </c>
      <c r="B183" t="s">
        <v>83</v>
      </c>
      <c r="C183" t="s">
        <v>81</v>
      </c>
      <c r="D183">
        <v>169</v>
      </c>
      <c r="E183">
        <v>2.4529000000000001</v>
      </c>
    </row>
    <row r="184" spans="1:5" x14ac:dyDescent="0.25">
      <c r="A184" t="s">
        <v>34</v>
      </c>
      <c r="B184" t="s">
        <v>83</v>
      </c>
      <c r="C184" t="s">
        <v>79</v>
      </c>
      <c r="D184">
        <v>144</v>
      </c>
      <c r="E184">
        <v>4.2089999999999996</v>
      </c>
    </row>
    <row r="185" spans="1:5" x14ac:dyDescent="0.25">
      <c r="A185" t="s">
        <v>35</v>
      </c>
      <c r="B185" t="s">
        <v>80</v>
      </c>
      <c r="C185" t="s">
        <v>81</v>
      </c>
      <c r="D185">
        <v>117</v>
      </c>
      <c r="E185">
        <v>2.1495000000000002</v>
      </c>
    </row>
    <row r="186" spans="1:5" x14ac:dyDescent="0.25">
      <c r="A186" t="s">
        <v>35</v>
      </c>
      <c r="B186" t="s">
        <v>80</v>
      </c>
      <c r="C186" t="s">
        <v>79</v>
      </c>
      <c r="D186">
        <v>118</v>
      </c>
      <c r="E186">
        <v>4.5510999999999999</v>
      </c>
    </row>
    <row r="187" spans="1:5" x14ac:dyDescent="0.25">
      <c r="A187" t="s">
        <v>35</v>
      </c>
      <c r="B187" t="s">
        <v>82</v>
      </c>
      <c r="C187" t="s">
        <v>81</v>
      </c>
      <c r="D187">
        <v>465</v>
      </c>
      <c r="E187">
        <v>2.4841000000000002</v>
      </c>
    </row>
    <row r="188" spans="1:5" x14ac:dyDescent="0.25">
      <c r="A188" t="s">
        <v>35</v>
      </c>
      <c r="B188" t="s">
        <v>82</v>
      </c>
      <c r="C188" t="s">
        <v>79</v>
      </c>
      <c r="D188">
        <v>359</v>
      </c>
      <c r="E188">
        <v>4.2609000000000004</v>
      </c>
    </row>
    <row r="189" spans="1:5" x14ac:dyDescent="0.25">
      <c r="A189" t="s">
        <v>35</v>
      </c>
      <c r="B189" t="s">
        <v>83</v>
      </c>
      <c r="C189" t="s">
        <v>81</v>
      </c>
      <c r="D189">
        <v>306</v>
      </c>
      <c r="E189">
        <v>2.3441000000000001</v>
      </c>
    </row>
    <row r="190" spans="1:5" x14ac:dyDescent="0.25">
      <c r="A190" t="s">
        <v>35</v>
      </c>
      <c r="B190" t="s">
        <v>83</v>
      </c>
      <c r="C190" t="s">
        <v>79</v>
      </c>
      <c r="D190">
        <v>302</v>
      </c>
      <c r="E190">
        <v>4.2864000000000004</v>
      </c>
    </row>
    <row r="191" spans="1:5" x14ac:dyDescent="0.25">
      <c r="A191" t="s">
        <v>36</v>
      </c>
      <c r="B191" t="s">
        <v>80</v>
      </c>
      <c r="C191" t="s">
        <v>81</v>
      </c>
      <c r="D191">
        <v>24</v>
      </c>
      <c r="E191">
        <v>1.9447000000000001</v>
      </c>
    </row>
    <row r="192" spans="1:5" x14ac:dyDescent="0.25">
      <c r="A192" t="s">
        <v>36</v>
      </c>
      <c r="B192" t="s">
        <v>80</v>
      </c>
      <c r="C192" t="s">
        <v>79</v>
      </c>
      <c r="D192">
        <v>14</v>
      </c>
      <c r="E192">
        <v>4.1829999999999998</v>
      </c>
    </row>
    <row r="193" spans="1:5" x14ac:dyDescent="0.25">
      <c r="A193" t="s">
        <v>36</v>
      </c>
      <c r="B193" t="s">
        <v>82</v>
      </c>
      <c r="C193" t="s">
        <v>81</v>
      </c>
      <c r="D193">
        <v>45</v>
      </c>
      <c r="E193">
        <v>1.9591000000000001</v>
      </c>
    </row>
    <row r="194" spans="1:5" x14ac:dyDescent="0.25">
      <c r="A194" t="s">
        <v>36</v>
      </c>
      <c r="B194" t="s">
        <v>82</v>
      </c>
      <c r="C194" t="s">
        <v>79</v>
      </c>
      <c r="D194">
        <v>38</v>
      </c>
      <c r="E194">
        <v>4.0141999999999998</v>
      </c>
    </row>
    <row r="195" spans="1:5" x14ac:dyDescent="0.25">
      <c r="A195" t="s">
        <v>36</v>
      </c>
      <c r="B195" t="s">
        <v>83</v>
      </c>
      <c r="C195" t="s">
        <v>81</v>
      </c>
      <c r="D195">
        <v>32</v>
      </c>
      <c r="E195">
        <v>3.0406</v>
      </c>
    </row>
    <row r="196" spans="1:5" x14ac:dyDescent="0.25">
      <c r="A196" t="s">
        <v>36</v>
      </c>
      <c r="B196" t="s">
        <v>83</v>
      </c>
      <c r="C196" t="s">
        <v>79</v>
      </c>
      <c r="D196">
        <v>34</v>
      </c>
      <c r="E196">
        <v>4.2877999999999998</v>
      </c>
    </row>
    <row r="197" spans="1:5" x14ac:dyDescent="0.25">
      <c r="A197" t="s">
        <v>37</v>
      </c>
      <c r="B197" t="s">
        <v>80</v>
      </c>
      <c r="C197" t="s">
        <v>81</v>
      </c>
      <c r="D197">
        <v>29</v>
      </c>
      <c r="E197">
        <v>2.4662000000000002</v>
      </c>
    </row>
    <row r="198" spans="1:5" x14ac:dyDescent="0.25">
      <c r="A198" t="s">
        <v>37</v>
      </c>
      <c r="B198" t="s">
        <v>80</v>
      </c>
      <c r="C198" t="s">
        <v>79</v>
      </c>
      <c r="D198">
        <v>43</v>
      </c>
      <c r="E198">
        <v>3.3443000000000001</v>
      </c>
    </row>
    <row r="199" spans="1:5" x14ac:dyDescent="0.25">
      <c r="A199" t="s">
        <v>37</v>
      </c>
      <c r="B199" t="s">
        <v>82</v>
      </c>
      <c r="C199" t="s">
        <v>81</v>
      </c>
      <c r="D199">
        <v>127</v>
      </c>
      <c r="E199">
        <v>2.2742</v>
      </c>
    </row>
    <row r="200" spans="1:5" x14ac:dyDescent="0.25">
      <c r="A200" t="s">
        <v>37</v>
      </c>
      <c r="B200" t="s">
        <v>82</v>
      </c>
      <c r="C200" t="s">
        <v>79</v>
      </c>
      <c r="D200">
        <v>129</v>
      </c>
      <c r="E200">
        <v>4.2186000000000003</v>
      </c>
    </row>
    <row r="201" spans="1:5" x14ac:dyDescent="0.25">
      <c r="A201" t="s">
        <v>37</v>
      </c>
      <c r="B201" t="s">
        <v>83</v>
      </c>
      <c r="C201" t="s">
        <v>81</v>
      </c>
      <c r="D201">
        <v>96</v>
      </c>
      <c r="E201">
        <v>2.5127000000000002</v>
      </c>
    </row>
    <row r="202" spans="1:5" x14ac:dyDescent="0.25">
      <c r="A202" t="s">
        <v>37</v>
      </c>
      <c r="B202" t="s">
        <v>83</v>
      </c>
      <c r="C202" t="s">
        <v>79</v>
      </c>
      <c r="D202">
        <v>83</v>
      </c>
      <c r="E202">
        <v>4.4428000000000001</v>
      </c>
    </row>
    <row r="203" spans="1:5" x14ac:dyDescent="0.25">
      <c r="A203" t="s">
        <v>38</v>
      </c>
      <c r="B203" t="s">
        <v>80</v>
      </c>
      <c r="C203" t="s">
        <v>81</v>
      </c>
      <c r="D203">
        <v>34</v>
      </c>
      <c r="E203">
        <v>3.0808</v>
      </c>
    </row>
    <row r="204" spans="1:5" x14ac:dyDescent="0.25">
      <c r="A204" t="s">
        <v>38</v>
      </c>
      <c r="B204" t="s">
        <v>80</v>
      </c>
      <c r="C204" t="s">
        <v>79</v>
      </c>
      <c r="D204">
        <v>37</v>
      </c>
      <c r="E204">
        <v>3.9964</v>
      </c>
    </row>
    <row r="205" spans="1:5" x14ac:dyDescent="0.25">
      <c r="A205" t="s">
        <v>38</v>
      </c>
      <c r="B205" t="s">
        <v>82</v>
      </c>
      <c r="C205" t="s">
        <v>81</v>
      </c>
      <c r="D205">
        <v>162</v>
      </c>
      <c r="E205">
        <v>2.415</v>
      </c>
    </row>
    <row r="206" spans="1:5" x14ac:dyDescent="0.25">
      <c r="A206" t="s">
        <v>38</v>
      </c>
      <c r="B206" t="s">
        <v>82</v>
      </c>
      <c r="C206" t="s">
        <v>79</v>
      </c>
      <c r="D206">
        <v>134</v>
      </c>
      <c r="E206">
        <v>4.0206</v>
      </c>
    </row>
    <row r="207" spans="1:5" x14ac:dyDescent="0.25">
      <c r="A207" t="s">
        <v>38</v>
      </c>
      <c r="B207" t="s">
        <v>83</v>
      </c>
      <c r="C207" t="s">
        <v>81</v>
      </c>
      <c r="D207">
        <v>105</v>
      </c>
      <c r="E207">
        <v>1.9837</v>
      </c>
    </row>
    <row r="208" spans="1:5" x14ac:dyDescent="0.25">
      <c r="A208" t="s">
        <v>38</v>
      </c>
      <c r="B208" t="s">
        <v>83</v>
      </c>
      <c r="C208" t="s">
        <v>79</v>
      </c>
      <c r="D208">
        <v>81</v>
      </c>
      <c r="E208">
        <v>4.1277999999999997</v>
      </c>
    </row>
    <row r="209" spans="1:5" x14ac:dyDescent="0.25">
      <c r="A209" t="s">
        <v>39</v>
      </c>
      <c r="B209" t="s">
        <v>80</v>
      </c>
      <c r="C209" t="s">
        <v>81</v>
      </c>
      <c r="D209">
        <v>5</v>
      </c>
      <c r="E209">
        <v>1.175</v>
      </c>
    </row>
    <row r="210" spans="1:5" x14ac:dyDescent="0.25">
      <c r="A210" t="s">
        <v>39</v>
      </c>
      <c r="B210" t="s">
        <v>80</v>
      </c>
      <c r="C210" t="s">
        <v>79</v>
      </c>
      <c r="D210">
        <v>5</v>
      </c>
      <c r="E210">
        <v>2.2381000000000002</v>
      </c>
    </row>
    <row r="211" spans="1:5" x14ac:dyDescent="0.25">
      <c r="A211" t="s">
        <v>39</v>
      </c>
      <c r="B211" t="s">
        <v>82</v>
      </c>
      <c r="C211" t="s">
        <v>81</v>
      </c>
      <c r="D211">
        <v>16</v>
      </c>
      <c r="E211">
        <v>2.0215999999999998</v>
      </c>
    </row>
    <row r="212" spans="1:5" x14ac:dyDescent="0.25">
      <c r="A212" t="s">
        <v>39</v>
      </c>
      <c r="B212" t="s">
        <v>82</v>
      </c>
      <c r="C212" t="s">
        <v>79</v>
      </c>
      <c r="D212">
        <v>20</v>
      </c>
      <c r="E212">
        <v>3.5015999999999998</v>
      </c>
    </row>
    <row r="213" spans="1:5" x14ac:dyDescent="0.25">
      <c r="A213" t="s">
        <v>39</v>
      </c>
      <c r="B213" t="s">
        <v>83</v>
      </c>
      <c r="C213" t="s">
        <v>81</v>
      </c>
      <c r="D213">
        <v>15</v>
      </c>
      <c r="E213">
        <v>1.6580999999999999</v>
      </c>
    </row>
    <row r="214" spans="1:5" x14ac:dyDescent="0.25">
      <c r="A214" t="s">
        <v>39</v>
      </c>
      <c r="B214" t="s">
        <v>83</v>
      </c>
      <c r="C214" t="s">
        <v>79</v>
      </c>
      <c r="D214">
        <v>14</v>
      </c>
      <c r="E214">
        <v>3.71</v>
      </c>
    </row>
    <row r="215" spans="1:5" x14ac:dyDescent="0.25">
      <c r="A215" t="s">
        <v>40</v>
      </c>
      <c r="B215" t="s">
        <v>80</v>
      </c>
      <c r="C215" t="s">
        <v>81</v>
      </c>
      <c r="D215">
        <v>39</v>
      </c>
      <c r="E215">
        <v>1.7765</v>
      </c>
    </row>
    <row r="216" spans="1:5" x14ac:dyDescent="0.25">
      <c r="A216" t="s">
        <v>40</v>
      </c>
      <c r="B216" t="s">
        <v>80</v>
      </c>
      <c r="C216" t="s">
        <v>79</v>
      </c>
      <c r="D216">
        <v>30</v>
      </c>
      <c r="E216">
        <v>3.9274</v>
      </c>
    </row>
    <row r="217" spans="1:5" x14ac:dyDescent="0.25">
      <c r="A217" t="s">
        <v>40</v>
      </c>
      <c r="B217" t="s">
        <v>82</v>
      </c>
      <c r="C217" t="s">
        <v>81</v>
      </c>
      <c r="D217">
        <v>97</v>
      </c>
      <c r="E217">
        <v>1.9091</v>
      </c>
    </row>
    <row r="218" spans="1:5" x14ac:dyDescent="0.25">
      <c r="A218" t="s">
        <v>40</v>
      </c>
      <c r="B218" t="s">
        <v>82</v>
      </c>
      <c r="C218" t="s">
        <v>79</v>
      </c>
      <c r="D218">
        <v>107</v>
      </c>
      <c r="E218">
        <v>3.8980999999999999</v>
      </c>
    </row>
    <row r="219" spans="1:5" x14ac:dyDescent="0.25">
      <c r="A219" t="s">
        <v>40</v>
      </c>
      <c r="B219" t="s">
        <v>83</v>
      </c>
      <c r="C219" t="s">
        <v>81</v>
      </c>
      <c r="D219">
        <v>77</v>
      </c>
      <c r="E219">
        <v>2.6238999999999999</v>
      </c>
    </row>
    <row r="220" spans="1:5" x14ac:dyDescent="0.25">
      <c r="A220" t="s">
        <v>40</v>
      </c>
      <c r="B220" t="s">
        <v>83</v>
      </c>
      <c r="C220" t="s">
        <v>79</v>
      </c>
      <c r="D220">
        <v>70</v>
      </c>
      <c r="E220">
        <v>4.2716000000000003</v>
      </c>
    </row>
    <row r="221" spans="1:5" x14ac:dyDescent="0.25">
      <c r="A221" t="s">
        <v>41</v>
      </c>
      <c r="B221" t="s">
        <v>80</v>
      </c>
      <c r="C221" t="s">
        <v>81</v>
      </c>
      <c r="D221">
        <v>44</v>
      </c>
      <c r="E221">
        <v>1.8898999999999999</v>
      </c>
    </row>
    <row r="222" spans="1:5" x14ac:dyDescent="0.25">
      <c r="A222" t="s">
        <v>41</v>
      </c>
      <c r="B222" t="s">
        <v>80</v>
      </c>
      <c r="C222" t="s">
        <v>79</v>
      </c>
      <c r="D222">
        <v>37</v>
      </c>
      <c r="E222">
        <v>3.4952999999999999</v>
      </c>
    </row>
    <row r="223" spans="1:5" x14ac:dyDescent="0.25">
      <c r="A223" t="s">
        <v>41</v>
      </c>
      <c r="B223" t="s">
        <v>82</v>
      </c>
      <c r="C223" t="s">
        <v>81</v>
      </c>
      <c r="D223">
        <v>128</v>
      </c>
      <c r="E223">
        <v>2.41</v>
      </c>
    </row>
    <row r="224" spans="1:5" x14ac:dyDescent="0.25">
      <c r="A224" t="s">
        <v>41</v>
      </c>
      <c r="B224" t="s">
        <v>82</v>
      </c>
      <c r="C224" t="s">
        <v>79</v>
      </c>
      <c r="D224">
        <v>122</v>
      </c>
      <c r="E224">
        <v>3.9544999999999999</v>
      </c>
    </row>
    <row r="225" spans="1:5" x14ac:dyDescent="0.25">
      <c r="A225" t="s">
        <v>41</v>
      </c>
      <c r="B225" t="s">
        <v>83</v>
      </c>
      <c r="C225" t="s">
        <v>81</v>
      </c>
      <c r="D225">
        <v>103</v>
      </c>
      <c r="E225">
        <v>2.6560999999999999</v>
      </c>
    </row>
    <row r="226" spans="1:5" x14ac:dyDescent="0.25">
      <c r="A226" t="s">
        <v>41</v>
      </c>
      <c r="B226" t="s">
        <v>83</v>
      </c>
      <c r="C226" t="s">
        <v>79</v>
      </c>
      <c r="D226">
        <v>86</v>
      </c>
      <c r="E226">
        <v>4.4294000000000002</v>
      </c>
    </row>
    <row r="227" spans="1:5" x14ac:dyDescent="0.25">
      <c r="A227" t="s">
        <v>42</v>
      </c>
      <c r="B227" t="s">
        <v>80</v>
      </c>
      <c r="C227" t="s">
        <v>81</v>
      </c>
      <c r="D227">
        <v>7</v>
      </c>
      <c r="E227">
        <v>1.8125</v>
      </c>
    </row>
    <row r="228" spans="1:5" x14ac:dyDescent="0.25">
      <c r="A228" t="s">
        <v>42</v>
      </c>
      <c r="B228" t="s">
        <v>80</v>
      </c>
      <c r="C228" t="s">
        <v>79</v>
      </c>
      <c r="D228">
        <v>4</v>
      </c>
      <c r="E228">
        <v>3.5613999999999999</v>
      </c>
    </row>
    <row r="229" spans="1:5" x14ac:dyDescent="0.25">
      <c r="A229" t="s">
        <v>42</v>
      </c>
      <c r="B229" t="s">
        <v>82</v>
      </c>
      <c r="C229" t="s">
        <v>81</v>
      </c>
      <c r="D229">
        <v>8</v>
      </c>
      <c r="E229">
        <v>1.4482999999999999</v>
      </c>
    </row>
    <row r="230" spans="1:5" x14ac:dyDescent="0.25">
      <c r="A230" t="s">
        <v>42</v>
      </c>
      <c r="B230" t="s">
        <v>82</v>
      </c>
      <c r="C230" t="s">
        <v>79</v>
      </c>
      <c r="D230">
        <v>10</v>
      </c>
      <c r="E230">
        <v>3.2867999999999999</v>
      </c>
    </row>
    <row r="231" spans="1:5" x14ac:dyDescent="0.25">
      <c r="A231" t="s">
        <v>42</v>
      </c>
      <c r="B231" t="s">
        <v>83</v>
      </c>
      <c r="C231" t="s">
        <v>81</v>
      </c>
      <c r="D231">
        <v>3</v>
      </c>
      <c r="E231">
        <v>1.2813000000000001</v>
      </c>
    </row>
    <row r="232" spans="1:5" x14ac:dyDescent="0.25">
      <c r="A232" t="s">
        <v>42</v>
      </c>
      <c r="B232" t="s">
        <v>83</v>
      </c>
      <c r="C232" t="s">
        <v>79</v>
      </c>
      <c r="D232">
        <v>7</v>
      </c>
      <c r="E232">
        <v>3.9544999999999999</v>
      </c>
    </row>
    <row r="233" spans="1:5" x14ac:dyDescent="0.25">
      <c r="A233" t="s">
        <v>43</v>
      </c>
      <c r="B233" t="s">
        <v>80</v>
      </c>
      <c r="C233" t="s">
        <v>81</v>
      </c>
      <c r="D233">
        <v>206</v>
      </c>
      <c r="E233">
        <v>2.4171</v>
      </c>
    </row>
    <row r="234" spans="1:5" x14ac:dyDescent="0.25">
      <c r="A234" t="s">
        <v>43</v>
      </c>
      <c r="B234" t="s">
        <v>80</v>
      </c>
      <c r="C234" t="s">
        <v>79</v>
      </c>
      <c r="D234">
        <v>191</v>
      </c>
      <c r="E234">
        <v>4.3433000000000002</v>
      </c>
    </row>
    <row r="235" spans="1:5" x14ac:dyDescent="0.25">
      <c r="A235" t="s">
        <v>43</v>
      </c>
      <c r="B235" t="s">
        <v>82</v>
      </c>
      <c r="C235" t="s">
        <v>81</v>
      </c>
      <c r="D235">
        <v>753</v>
      </c>
      <c r="E235">
        <v>2.2768000000000002</v>
      </c>
    </row>
    <row r="236" spans="1:5" x14ac:dyDescent="0.25">
      <c r="A236" t="s">
        <v>43</v>
      </c>
      <c r="B236" t="s">
        <v>82</v>
      </c>
      <c r="C236" t="s">
        <v>79</v>
      </c>
      <c r="D236">
        <v>706</v>
      </c>
      <c r="E236">
        <v>4.0528000000000004</v>
      </c>
    </row>
    <row r="237" spans="1:5" x14ac:dyDescent="0.25">
      <c r="A237" t="s">
        <v>43</v>
      </c>
      <c r="B237" t="s">
        <v>83</v>
      </c>
      <c r="C237" t="s">
        <v>81</v>
      </c>
      <c r="D237">
        <v>528</v>
      </c>
      <c r="E237">
        <v>2.3887</v>
      </c>
    </row>
    <row r="238" spans="1:5" x14ac:dyDescent="0.25">
      <c r="A238" t="s">
        <v>43</v>
      </c>
      <c r="B238" t="s">
        <v>83</v>
      </c>
      <c r="C238" t="s">
        <v>79</v>
      </c>
      <c r="D238">
        <v>487</v>
      </c>
      <c r="E238">
        <v>4.2069999999999999</v>
      </c>
    </row>
    <row r="239" spans="1:5" x14ac:dyDescent="0.25">
      <c r="A239" t="s">
        <v>44</v>
      </c>
      <c r="B239" t="s">
        <v>80</v>
      </c>
      <c r="C239" t="s">
        <v>81</v>
      </c>
      <c r="D239">
        <v>5</v>
      </c>
      <c r="E239">
        <v>1.3555999999999999</v>
      </c>
    </row>
    <row r="240" spans="1:5" x14ac:dyDescent="0.25">
      <c r="A240" t="s">
        <v>44</v>
      </c>
      <c r="B240" t="s">
        <v>80</v>
      </c>
      <c r="C240" t="s">
        <v>79</v>
      </c>
      <c r="D240">
        <v>10</v>
      </c>
      <c r="E240">
        <v>4.5435999999999996</v>
      </c>
    </row>
    <row r="241" spans="1:5" x14ac:dyDescent="0.25">
      <c r="A241" t="s">
        <v>44</v>
      </c>
      <c r="B241" t="s">
        <v>82</v>
      </c>
      <c r="C241" t="s">
        <v>81</v>
      </c>
      <c r="D241">
        <v>30</v>
      </c>
      <c r="E241">
        <v>2.4157000000000002</v>
      </c>
    </row>
    <row r="242" spans="1:5" x14ac:dyDescent="0.25">
      <c r="A242" t="s">
        <v>44</v>
      </c>
      <c r="B242" t="s">
        <v>82</v>
      </c>
      <c r="C242" t="s">
        <v>79</v>
      </c>
      <c r="D242">
        <v>30</v>
      </c>
      <c r="E242">
        <v>3.7942999999999998</v>
      </c>
    </row>
    <row r="243" spans="1:5" x14ac:dyDescent="0.25">
      <c r="A243" t="s">
        <v>44</v>
      </c>
      <c r="B243" t="s">
        <v>83</v>
      </c>
      <c r="C243" t="s">
        <v>81</v>
      </c>
      <c r="D243">
        <v>17</v>
      </c>
      <c r="E243">
        <v>2.3736999999999999</v>
      </c>
    </row>
    <row r="244" spans="1:5" x14ac:dyDescent="0.25">
      <c r="A244" t="s">
        <v>44</v>
      </c>
      <c r="B244" t="s">
        <v>83</v>
      </c>
      <c r="C244" t="s">
        <v>79</v>
      </c>
      <c r="D244">
        <v>16</v>
      </c>
      <c r="E244">
        <v>3.2717999999999998</v>
      </c>
    </row>
    <row r="245" spans="1:5" x14ac:dyDescent="0.25">
      <c r="A245" t="s">
        <v>45</v>
      </c>
      <c r="B245" t="s">
        <v>80</v>
      </c>
      <c r="C245" t="s">
        <v>79</v>
      </c>
      <c r="D245">
        <v>1</v>
      </c>
      <c r="E245">
        <v>2</v>
      </c>
    </row>
    <row r="246" spans="1:5" x14ac:dyDescent="0.25">
      <c r="A246" t="s">
        <v>45</v>
      </c>
      <c r="B246" t="s">
        <v>82</v>
      </c>
      <c r="C246" t="s">
        <v>81</v>
      </c>
      <c r="D246">
        <v>2</v>
      </c>
      <c r="E246">
        <v>3</v>
      </c>
    </row>
    <row r="247" spans="1:5" x14ac:dyDescent="0.25">
      <c r="A247" t="s">
        <v>45</v>
      </c>
      <c r="B247" t="s">
        <v>82</v>
      </c>
      <c r="C247" t="s">
        <v>79</v>
      </c>
      <c r="D247">
        <v>4</v>
      </c>
      <c r="E247">
        <v>4.5574000000000003</v>
      </c>
    </row>
    <row r="248" spans="1:5" x14ac:dyDescent="0.25">
      <c r="A248" t="s">
        <v>45</v>
      </c>
      <c r="B248" t="s">
        <v>83</v>
      </c>
      <c r="C248" t="s">
        <v>81</v>
      </c>
      <c r="D248">
        <v>2</v>
      </c>
      <c r="E248">
        <v>3</v>
      </c>
    </row>
    <row r="249" spans="1:5" x14ac:dyDescent="0.25">
      <c r="A249" t="s">
        <v>45</v>
      </c>
      <c r="B249" t="s">
        <v>83</v>
      </c>
      <c r="C249" t="s">
        <v>79</v>
      </c>
      <c r="D249">
        <v>4</v>
      </c>
      <c r="E249">
        <v>2.75</v>
      </c>
    </row>
    <row r="250" spans="1:5" x14ac:dyDescent="0.25">
      <c r="A250" t="s">
        <v>46</v>
      </c>
      <c r="B250" t="s">
        <v>80</v>
      </c>
      <c r="C250" t="s">
        <v>81</v>
      </c>
      <c r="D250">
        <v>267</v>
      </c>
      <c r="E250">
        <v>2.6677</v>
      </c>
    </row>
    <row r="251" spans="1:5" x14ac:dyDescent="0.25">
      <c r="A251" t="s">
        <v>46</v>
      </c>
      <c r="B251" t="s">
        <v>80</v>
      </c>
      <c r="C251" t="s">
        <v>79</v>
      </c>
      <c r="D251">
        <v>205</v>
      </c>
      <c r="E251">
        <v>4.1007999999999996</v>
      </c>
    </row>
    <row r="252" spans="1:5" x14ac:dyDescent="0.25">
      <c r="A252" t="s">
        <v>46</v>
      </c>
      <c r="B252" t="s">
        <v>82</v>
      </c>
      <c r="C252" t="s">
        <v>81</v>
      </c>
      <c r="D252">
        <v>889</v>
      </c>
      <c r="E252">
        <v>2.3521999999999998</v>
      </c>
    </row>
    <row r="253" spans="1:5" x14ac:dyDescent="0.25">
      <c r="A253" t="s">
        <v>46</v>
      </c>
      <c r="B253" t="s">
        <v>82</v>
      </c>
      <c r="C253" t="s">
        <v>79</v>
      </c>
      <c r="D253">
        <v>793</v>
      </c>
      <c r="E253">
        <v>3.9828999999999999</v>
      </c>
    </row>
    <row r="254" spans="1:5" x14ac:dyDescent="0.25">
      <c r="A254" t="s">
        <v>46</v>
      </c>
      <c r="B254" t="s">
        <v>83</v>
      </c>
      <c r="C254" t="s">
        <v>81</v>
      </c>
      <c r="D254">
        <v>624</v>
      </c>
      <c r="E254">
        <v>2.2378</v>
      </c>
    </row>
    <row r="255" spans="1:5" x14ac:dyDescent="0.25">
      <c r="A255" t="s">
        <v>46</v>
      </c>
      <c r="B255" t="s">
        <v>83</v>
      </c>
      <c r="C255" t="s">
        <v>79</v>
      </c>
      <c r="D255">
        <v>547</v>
      </c>
      <c r="E255">
        <v>4.0180999999999996</v>
      </c>
    </row>
    <row r="256" spans="1:5" x14ac:dyDescent="0.25">
      <c r="A256" t="s">
        <v>47</v>
      </c>
      <c r="B256" t="s">
        <v>80</v>
      </c>
      <c r="C256" t="s">
        <v>81</v>
      </c>
      <c r="D256">
        <v>798</v>
      </c>
      <c r="E256">
        <v>2.3458000000000001</v>
      </c>
    </row>
    <row r="257" spans="1:5" x14ac:dyDescent="0.25">
      <c r="A257" t="s">
        <v>47</v>
      </c>
      <c r="B257" t="s">
        <v>80</v>
      </c>
      <c r="C257" t="s">
        <v>79</v>
      </c>
      <c r="D257">
        <v>672</v>
      </c>
      <c r="E257">
        <v>4.1760000000000002</v>
      </c>
    </row>
    <row r="258" spans="1:5" x14ac:dyDescent="0.25">
      <c r="A258" t="s">
        <v>47</v>
      </c>
      <c r="B258" t="s">
        <v>82</v>
      </c>
      <c r="C258" t="s">
        <v>81</v>
      </c>
      <c r="D258">
        <v>2756</v>
      </c>
      <c r="E258">
        <v>2.3654999999999999</v>
      </c>
    </row>
    <row r="259" spans="1:5" x14ac:dyDescent="0.25">
      <c r="A259" t="s">
        <v>47</v>
      </c>
      <c r="B259" t="s">
        <v>82</v>
      </c>
      <c r="C259" t="s">
        <v>79</v>
      </c>
      <c r="D259">
        <v>2461</v>
      </c>
      <c r="E259">
        <v>4.0971000000000002</v>
      </c>
    </row>
    <row r="260" spans="1:5" x14ac:dyDescent="0.25">
      <c r="A260" t="s">
        <v>47</v>
      </c>
      <c r="B260" t="s">
        <v>83</v>
      </c>
      <c r="C260" t="s">
        <v>81</v>
      </c>
      <c r="D260">
        <v>1980</v>
      </c>
      <c r="E260">
        <v>2.3243999999999998</v>
      </c>
    </row>
    <row r="261" spans="1:5" x14ac:dyDescent="0.25">
      <c r="A261" t="s">
        <v>47</v>
      </c>
      <c r="B261" t="s">
        <v>83</v>
      </c>
      <c r="C261" t="s">
        <v>79</v>
      </c>
      <c r="D261">
        <v>1634</v>
      </c>
      <c r="E261">
        <v>4.0911999999999997</v>
      </c>
    </row>
    <row r="262" spans="1:5" x14ac:dyDescent="0.25">
      <c r="A262" t="s">
        <v>48</v>
      </c>
      <c r="B262" t="s">
        <v>80</v>
      </c>
      <c r="C262" t="s">
        <v>81</v>
      </c>
      <c r="D262">
        <v>28</v>
      </c>
      <c r="E262">
        <v>2.8081999999999998</v>
      </c>
    </row>
    <row r="263" spans="1:5" x14ac:dyDescent="0.25">
      <c r="A263" t="s">
        <v>48</v>
      </c>
      <c r="B263" t="s">
        <v>80</v>
      </c>
      <c r="C263" t="s">
        <v>79</v>
      </c>
      <c r="D263">
        <v>32</v>
      </c>
      <c r="E263">
        <v>4.0960999999999999</v>
      </c>
    </row>
    <row r="264" spans="1:5" x14ac:dyDescent="0.25">
      <c r="A264" t="s">
        <v>48</v>
      </c>
      <c r="B264" t="s">
        <v>82</v>
      </c>
      <c r="C264" t="s">
        <v>81</v>
      </c>
      <c r="D264">
        <v>99</v>
      </c>
      <c r="E264">
        <v>2.4375</v>
      </c>
    </row>
    <row r="265" spans="1:5" x14ac:dyDescent="0.25">
      <c r="A265" t="s">
        <v>48</v>
      </c>
      <c r="B265" t="s">
        <v>82</v>
      </c>
      <c r="C265" t="s">
        <v>79</v>
      </c>
      <c r="D265">
        <v>85</v>
      </c>
      <c r="E265">
        <v>3.8492000000000002</v>
      </c>
    </row>
    <row r="266" spans="1:5" x14ac:dyDescent="0.25">
      <c r="A266" t="s">
        <v>48</v>
      </c>
      <c r="B266" t="s">
        <v>83</v>
      </c>
      <c r="C266" t="s">
        <v>81</v>
      </c>
      <c r="D266">
        <v>70</v>
      </c>
      <c r="E266">
        <v>2.2484000000000002</v>
      </c>
    </row>
    <row r="267" spans="1:5" x14ac:dyDescent="0.25">
      <c r="A267" t="s">
        <v>48</v>
      </c>
      <c r="B267" t="s">
        <v>83</v>
      </c>
      <c r="C267" t="s">
        <v>79</v>
      </c>
      <c r="D267">
        <v>76</v>
      </c>
      <c r="E267">
        <v>4.2106000000000003</v>
      </c>
    </row>
    <row r="268" spans="1:5" x14ac:dyDescent="0.25">
      <c r="A268" t="s">
        <v>49</v>
      </c>
      <c r="B268" t="s">
        <v>80</v>
      </c>
      <c r="C268" t="s">
        <v>81</v>
      </c>
      <c r="D268">
        <v>14</v>
      </c>
      <c r="E268">
        <v>2.4</v>
      </c>
    </row>
    <row r="269" spans="1:5" x14ac:dyDescent="0.25">
      <c r="A269" t="s">
        <v>49</v>
      </c>
      <c r="B269" t="s">
        <v>80</v>
      </c>
      <c r="C269" t="s">
        <v>79</v>
      </c>
      <c r="D269">
        <v>10</v>
      </c>
      <c r="E269">
        <v>5.3362999999999996</v>
      </c>
    </row>
    <row r="270" spans="1:5" x14ac:dyDescent="0.25">
      <c r="A270" t="s">
        <v>49</v>
      </c>
      <c r="B270" t="s">
        <v>82</v>
      </c>
      <c r="C270" t="s">
        <v>81</v>
      </c>
      <c r="D270">
        <v>37</v>
      </c>
      <c r="E270">
        <v>1.8734</v>
      </c>
    </row>
    <row r="271" spans="1:5" x14ac:dyDescent="0.25">
      <c r="A271" t="s">
        <v>49</v>
      </c>
      <c r="B271" t="s">
        <v>82</v>
      </c>
      <c r="C271" t="s">
        <v>79</v>
      </c>
      <c r="D271">
        <v>32</v>
      </c>
      <c r="E271">
        <v>3.9011999999999998</v>
      </c>
    </row>
    <row r="272" spans="1:5" x14ac:dyDescent="0.25">
      <c r="A272" t="s">
        <v>49</v>
      </c>
      <c r="B272" t="s">
        <v>83</v>
      </c>
      <c r="C272" t="s">
        <v>81</v>
      </c>
      <c r="D272">
        <v>25</v>
      </c>
      <c r="E272">
        <v>1.4752000000000001</v>
      </c>
    </row>
    <row r="273" spans="1:5" x14ac:dyDescent="0.25">
      <c r="A273" t="s">
        <v>49</v>
      </c>
      <c r="B273" t="s">
        <v>83</v>
      </c>
      <c r="C273" t="s">
        <v>79</v>
      </c>
      <c r="D273">
        <v>19</v>
      </c>
      <c r="E273">
        <v>5.3524000000000003</v>
      </c>
    </row>
    <row r="274" spans="1:5" x14ac:dyDescent="0.25">
      <c r="A274" t="s">
        <v>50</v>
      </c>
      <c r="B274" t="s">
        <v>80</v>
      </c>
      <c r="C274" t="s">
        <v>81</v>
      </c>
      <c r="D274">
        <v>1</v>
      </c>
      <c r="E274">
        <v>5</v>
      </c>
    </row>
    <row r="275" spans="1:5" x14ac:dyDescent="0.25">
      <c r="A275" t="s">
        <v>50</v>
      </c>
      <c r="B275" t="s">
        <v>82</v>
      </c>
      <c r="C275" t="s">
        <v>81</v>
      </c>
      <c r="D275">
        <v>2</v>
      </c>
      <c r="E275">
        <v>1.6841999999999999</v>
      </c>
    </row>
    <row r="276" spans="1:5" x14ac:dyDescent="0.25">
      <c r="A276" t="s">
        <v>50</v>
      </c>
      <c r="B276" t="s">
        <v>82</v>
      </c>
      <c r="C276" t="s">
        <v>79</v>
      </c>
      <c r="D276">
        <v>1</v>
      </c>
      <c r="E276">
        <v>3</v>
      </c>
    </row>
    <row r="277" spans="1:5" x14ac:dyDescent="0.25">
      <c r="A277" t="s">
        <v>50</v>
      </c>
      <c r="B277" t="s">
        <v>83</v>
      </c>
      <c r="C277" t="s">
        <v>79</v>
      </c>
      <c r="D277">
        <v>1</v>
      </c>
      <c r="E277">
        <v>10</v>
      </c>
    </row>
    <row r="278" spans="1:5" x14ac:dyDescent="0.25">
      <c r="A278" t="s">
        <v>51</v>
      </c>
      <c r="B278" t="s">
        <v>80</v>
      </c>
      <c r="C278" t="s">
        <v>81</v>
      </c>
      <c r="D278">
        <v>7</v>
      </c>
      <c r="E278">
        <v>2.5714000000000001</v>
      </c>
    </row>
    <row r="279" spans="1:5" x14ac:dyDescent="0.25">
      <c r="A279" t="s">
        <v>51</v>
      </c>
      <c r="B279" t="s">
        <v>80</v>
      </c>
      <c r="C279" t="s">
        <v>79</v>
      </c>
      <c r="D279">
        <v>10</v>
      </c>
      <c r="E279">
        <v>3.5815999999999999</v>
      </c>
    </row>
    <row r="280" spans="1:5" x14ac:dyDescent="0.25">
      <c r="A280" t="s">
        <v>51</v>
      </c>
      <c r="B280" t="s">
        <v>82</v>
      </c>
      <c r="C280" t="s">
        <v>81</v>
      </c>
      <c r="D280">
        <v>36</v>
      </c>
      <c r="E280">
        <v>2.2391999999999999</v>
      </c>
    </row>
    <row r="281" spans="1:5" x14ac:dyDescent="0.25">
      <c r="A281" t="s">
        <v>51</v>
      </c>
      <c r="B281" t="s">
        <v>82</v>
      </c>
      <c r="C281" t="s">
        <v>79</v>
      </c>
      <c r="D281">
        <v>19</v>
      </c>
      <c r="E281">
        <v>3.7463000000000002</v>
      </c>
    </row>
    <row r="282" spans="1:5" x14ac:dyDescent="0.25">
      <c r="A282" t="s">
        <v>51</v>
      </c>
      <c r="B282" t="s">
        <v>83</v>
      </c>
      <c r="C282" t="s">
        <v>81</v>
      </c>
      <c r="D282">
        <v>18</v>
      </c>
      <c r="E282">
        <v>3.1040000000000001</v>
      </c>
    </row>
    <row r="283" spans="1:5" x14ac:dyDescent="0.25">
      <c r="A283" t="s">
        <v>51</v>
      </c>
      <c r="B283" t="s">
        <v>83</v>
      </c>
      <c r="C283" t="s">
        <v>79</v>
      </c>
      <c r="D283">
        <v>15</v>
      </c>
      <c r="E283">
        <v>4.5044000000000004</v>
      </c>
    </row>
    <row r="284" spans="1:5" x14ac:dyDescent="0.25">
      <c r="A284" t="s">
        <v>52</v>
      </c>
      <c r="B284" t="s">
        <v>80</v>
      </c>
      <c r="C284" t="s">
        <v>81</v>
      </c>
      <c r="D284">
        <v>18</v>
      </c>
      <c r="E284">
        <v>3.1774</v>
      </c>
    </row>
    <row r="285" spans="1:5" x14ac:dyDescent="0.25">
      <c r="A285" t="s">
        <v>52</v>
      </c>
      <c r="B285" t="s">
        <v>80</v>
      </c>
      <c r="C285" t="s">
        <v>79</v>
      </c>
      <c r="D285">
        <v>10</v>
      </c>
      <c r="E285">
        <v>3.2805</v>
      </c>
    </row>
    <row r="286" spans="1:5" x14ac:dyDescent="0.25">
      <c r="A286" t="s">
        <v>52</v>
      </c>
      <c r="B286" t="s">
        <v>82</v>
      </c>
      <c r="C286" t="s">
        <v>81</v>
      </c>
      <c r="D286">
        <v>60</v>
      </c>
      <c r="E286">
        <v>2.4401999999999999</v>
      </c>
    </row>
    <row r="287" spans="1:5" x14ac:dyDescent="0.25">
      <c r="A287" t="s">
        <v>52</v>
      </c>
      <c r="B287" t="s">
        <v>82</v>
      </c>
      <c r="C287" t="s">
        <v>79</v>
      </c>
      <c r="D287">
        <v>52</v>
      </c>
      <c r="E287">
        <v>3.6164999999999998</v>
      </c>
    </row>
    <row r="288" spans="1:5" x14ac:dyDescent="0.25">
      <c r="A288" t="s">
        <v>52</v>
      </c>
      <c r="B288" t="s">
        <v>83</v>
      </c>
      <c r="C288" t="s">
        <v>81</v>
      </c>
      <c r="D288">
        <v>43</v>
      </c>
      <c r="E288">
        <v>2.0388000000000002</v>
      </c>
    </row>
    <row r="289" spans="1:5" x14ac:dyDescent="0.25">
      <c r="A289" t="s">
        <v>52</v>
      </c>
      <c r="B289" t="s">
        <v>83</v>
      </c>
      <c r="C289" t="s">
        <v>79</v>
      </c>
      <c r="D289">
        <v>40</v>
      </c>
      <c r="E289">
        <v>4.9798999999999998</v>
      </c>
    </row>
    <row r="290" spans="1:5" x14ac:dyDescent="0.25">
      <c r="A290" t="s">
        <v>53</v>
      </c>
      <c r="B290" t="s">
        <v>80</v>
      </c>
      <c r="C290" t="s">
        <v>81</v>
      </c>
      <c r="D290">
        <v>824</v>
      </c>
      <c r="E290">
        <v>2.2787999999999999</v>
      </c>
    </row>
    <row r="291" spans="1:5" x14ac:dyDescent="0.25">
      <c r="A291" t="s">
        <v>53</v>
      </c>
      <c r="B291" t="s">
        <v>80</v>
      </c>
      <c r="C291" t="s">
        <v>79</v>
      </c>
      <c r="D291">
        <v>716</v>
      </c>
      <c r="E291">
        <v>3.9940000000000002</v>
      </c>
    </row>
    <row r="292" spans="1:5" x14ac:dyDescent="0.25">
      <c r="A292" t="s">
        <v>53</v>
      </c>
      <c r="B292" t="s">
        <v>82</v>
      </c>
      <c r="C292" t="s">
        <v>81</v>
      </c>
      <c r="D292">
        <v>2672</v>
      </c>
      <c r="E292">
        <v>2.3079999999999998</v>
      </c>
    </row>
    <row r="293" spans="1:5" x14ac:dyDescent="0.25">
      <c r="A293" t="s">
        <v>53</v>
      </c>
      <c r="B293" t="s">
        <v>82</v>
      </c>
      <c r="C293" t="s">
        <v>79</v>
      </c>
      <c r="D293">
        <v>2311</v>
      </c>
      <c r="E293">
        <v>4.0819000000000001</v>
      </c>
    </row>
    <row r="294" spans="1:5" x14ac:dyDescent="0.25">
      <c r="A294" t="s">
        <v>53</v>
      </c>
      <c r="B294" t="s">
        <v>83</v>
      </c>
      <c r="C294" t="s">
        <v>81</v>
      </c>
      <c r="D294">
        <v>1887</v>
      </c>
      <c r="E294">
        <v>2.3746</v>
      </c>
    </row>
    <row r="295" spans="1:5" x14ac:dyDescent="0.25">
      <c r="A295" t="s">
        <v>53</v>
      </c>
      <c r="B295" t="s">
        <v>83</v>
      </c>
      <c r="C295" t="s">
        <v>79</v>
      </c>
      <c r="D295">
        <v>1680</v>
      </c>
      <c r="E295">
        <v>3.9710000000000001</v>
      </c>
    </row>
    <row r="296" spans="1:5" x14ac:dyDescent="0.25">
      <c r="A296" t="s">
        <v>54</v>
      </c>
      <c r="B296" t="s">
        <v>80</v>
      </c>
      <c r="C296" t="s">
        <v>81</v>
      </c>
      <c r="D296">
        <v>32</v>
      </c>
      <c r="E296">
        <v>2.6412</v>
      </c>
    </row>
    <row r="297" spans="1:5" x14ac:dyDescent="0.25">
      <c r="A297" t="s">
        <v>54</v>
      </c>
      <c r="B297" t="s">
        <v>80</v>
      </c>
      <c r="C297" t="s">
        <v>79</v>
      </c>
      <c r="D297">
        <v>26</v>
      </c>
      <c r="E297">
        <v>4.0758999999999999</v>
      </c>
    </row>
    <row r="298" spans="1:5" x14ac:dyDescent="0.25">
      <c r="A298" t="s">
        <v>54</v>
      </c>
      <c r="B298" t="s">
        <v>82</v>
      </c>
      <c r="C298" t="s">
        <v>81</v>
      </c>
      <c r="D298">
        <v>82</v>
      </c>
      <c r="E298">
        <v>2.3365</v>
      </c>
    </row>
    <row r="299" spans="1:5" x14ac:dyDescent="0.25">
      <c r="A299" t="s">
        <v>54</v>
      </c>
      <c r="B299" t="s">
        <v>82</v>
      </c>
      <c r="C299" t="s">
        <v>79</v>
      </c>
      <c r="D299">
        <v>94</v>
      </c>
      <c r="E299">
        <v>4.0457999999999998</v>
      </c>
    </row>
    <row r="300" spans="1:5" x14ac:dyDescent="0.25">
      <c r="A300" t="s">
        <v>54</v>
      </c>
      <c r="B300" t="s">
        <v>83</v>
      </c>
      <c r="C300" t="s">
        <v>81</v>
      </c>
      <c r="D300">
        <v>64</v>
      </c>
      <c r="E300">
        <v>2.3285</v>
      </c>
    </row>
    <row r="301" spans="1:5" x14ac:dyDescent="0.25">
      <c r="A301" t="s">
        <v>54</v>
      </c>
      <c r="B301" t="s">
        <v>83</v>
      </c>
      <c r="C301" t="s">
        <v>79</v>
      </c>
      <c r="D301">
        <v>56</v>
      </c>
      <c r="E301">
        <v>4.6435000000000004</v>
      </c>
    </row>
    <row r="302" spans="1:5" x14ac:dyDescent="0.25">
      <c r="A302" t="s">
        <v>55</v>
      </c>
      <c r="B302" t="s">
        <v>80</v>
      </c>
      <c r="C302" t="s">
        <v>81</v>
      </c>
      <c r="D302">
        <v>5</v>
      </c>
      <c r="E302">
        <v>2.7576000000000001</v>
      </c>
    </row>
    <row r="303" spans="1:5" x14ac:dyDescent="0.25">
      <c r="A303" t="s">
        <v>55</v>
      </c>
      <c r="B303" t="s">
        <v>80</v>
      </c>
      <c r="C303" t="s">
        <v>79</v>
      </c>
      <c r="D303">
        <v>7</v>
      </c>
      <c r="E303">
        <v>3.9619</v>
      </c>
    </row>
    <row r="304" spans="1:5" x14ac:dyDescent="0.25">
      <c r="A304" t="s">
        <v>55</v>
      </c>
      <c r="B304" t="s">
        <v>82</v>
      </c>
      <c r="C304" t="s">
        <v>81</v>
      </c>
      <c r="D304">
        <v>18</v>
      </c>
      <c r="E304">
        <v>2.2233999999999998</v>
      </c>
    </row>
    <row r="305" spans="1:5" x14ac:dyDescent="0.25">
      <c r="A305" t="s">
        <v>55</v>
      </c>
      <c r="B305" t="s">
        <v>82</v>
      </c>
      <c r="C305" t="s">
        <v>79</v>
      </c>
      <c r="D305">
        <v>27</v>
      </c>
      <c r="E305">
        <v>4.0145999999999997</v>
      </c>
    </row>
    <row r="306" spans="1:5" x14ac:dyDescent="0.25">
      <c r="A306" t="s">
        <v>55</v>
      </c>
      <c r="B306" t="s">
        <v>83</v>
      </c>
      <c r="C306" t="s">
        <v>81</v>
      </c>
      <c r="D306">
        <v>13</v>
      </c>
      <c r="E306">
        <v>2.8376999999999999</v>
      </c>
    </row>
    <row r="307" spans="1:5" x14ac:dyDescent="0.25">
      <c r="A307" t="s">
        <v>55</v>
      </c>
      <c r="B307" t="s">
        <v>83</v>
      </c>
      <c r="C307" t="s">
        <v>79</v>
      </c>
      <c r="D307">
        <v>13</v>
      </c>
      <c r="E307">
        <v>3.8102</v>
      </c>
    </row>
    <row r="308" spans="1:5" x14ac:dyDescent="0.25">
      <c r="A308" t="s">
        <v>56</v>
      </c>
      <c r="B308" t="s">
        <v>80</v>
      </c>
      <c r="C308" t="s">
        <v>81</v>
      </c>
      <c r="D308">
        <v>7</v>
      </c>
      <c r="E308">
        <v>1.91</v>
      </c>
    </row>
    <row r="309" spans="1:5" x14ac:dyDescent="0.25">
      <c r="A309" t="s">
        <v>56</v>
      </c>
      <c r="B309" t="s">
        <v>80</v>
      </c>
      <c r="C309" t="s">
        <v>79</v>
      </c>
      <c r="D309">
        <v>5</v>
      </c>
      <c r="E309">
        <v>4.4085000000000001</v>
      </c>
    </row>
    <row r="310" spans="1:5" x14ac:dyDescent="0.25">
      <c r="A310" t="s">
        <v>56</v>
      </c>
      <c r="B310" t="s">
        <v>82</v>
      </c>
      <c r="C310" t="s">
        <v>81</v>
      </c>
      <c r="D310">
        <v>10</v>
      </c>
      <c r="E310">
        <v>1.6186</v>
      </c>
    </row>
    <row r="311" spans="1:5" x14ac:dyDescent="0.25">
      <c r="A311" t="s">
        <v>56</v>
      </c>
      <c r="B311" t="s">
        <v>82</v>
      </c>
      <c r="C311" t="s">
        <v>79</v>
      </c>
      <c r="D311">
        <v>8</v>
      </c>
      <c r="E311">
        <v>5.51</v>
      </c>
    </row>
    <row r="312" spans="1:5" x14ac:dyDescent="0.25">
      <c r="A312" t="s">
        <v>56</v>
      </c>
      <c r="B312" t="s">
        <v>83</v>
      </c>
      <c r="C312" t="s">
        <v>81</v>
      </c>
      <c r="D312">
        <v>5</v>
      </c>
      <c r="E312">
        <v>1.2692000000000001</v>
      </c>
    </row>
    <row r="313" spans="1:5" x14ac:dyDescent="0.25">
      <c r="A313" t="s">
        <v>56</v>
      </c>
      <c r="B313" t="s">
        <v>83</v>
      </c>
      <c r="C313" t="s">
        <v>79</v>
      </c>
      <c r="D313">
        <v>11</v>
      </c>
      <c r="E313">
        <v>3.8555999999999999</v>
      </c>
    </row>
    <row r="314" spans="1:5" x14ac:dyDescent="0.25">
      <c r="A314" t="s">
        <v>57</v>
      </c>
      <c r="B314" t="s">
        <v>80</v>
      </c>
      <c r="C314" t="s">
        <v>81</v>
      </c>
      <c r="D314">
        <v>123</v>
      </c>
      <c r="E314">
        <v>2.2387999999999999</v>
      </c>
    </row>
    <row r="315" spans="1:5" x14ac:dyDescent="0.25">
      <c r="A315" t="s">
        <v>57</v>
      </c>
      <c r="B315" t="s">
        <v>80</v>
      </c>
      <c r="C315" t="s">
        <v>79</v>
      </c>
      <c r="D315">
        <v>126</v>
      </c>
      <c r="E315">
        <v>4.1856999999999998</v>
      </c>
    </row>
    <row r="316" spans="1:5" x14ac:dyDescent="0.25">
      <c r="A316" t="s">
        <v>57</v>
      </c>
      <c r="B316" t="s">
        <v>82</v>
      </c>
      <c r="C316" t="s">
        <v>81</v>
      </c>
      <c r="D316">
        <v>465</v>
      </c>
      <c r="E316">
        <v>2.2627999999999999</v>
      </c>
    </row>
    <row r="317" spans="1:5" x14ac:dyDescent="0.25">
      <c r="A317" t="s">
        <v>57</v>
      </c>
      <c r="B317" t="s">
        <v>82</v>
      </c>
      <c r="C317" t="s">
        <v>79</v>
      </c>
      <c r="D317">
        <v>386</v>
      </c>
      <c r="E317">
        <v>4.1018999999999997</v>
      </c>
    </row>
    <row r="318" spans="1:5" x14ac:dyDescent="0.25">
      <c r="A318" t="s">
        <v>57</v>
      </c>
      <c r="B318" t="s">
        <v>83</v>
      </c>
      <c r="C318" t="s">
        <v>81</v>
      </c>
      <c r="D318">
        <v>281</v>
      </c>
      <c r="E318">
        <v>2.5789</v>
      </c>
    </row>
    <row r="319" spans="1:5" x14ac:dyDescent="0.25">
      <c r="A319" t="s">
        <v>57</v>
      </c>
      <c r="B319" t="s">
        <v>83</v>
      </c>
      <c r="C319" t="s">
        <v>79</v>
      </c>
      <c r="D319">
        <v>265</v>
      </c>
      <c r="E319">
        <v>3.8730000000000002</v>
      </c>
    </row>
    <row r="320" spans="1:5" x14ac:dyDescent="0.25">
      <c r="A320" t="s">
        <v>58</v>
      </c>
      <c r="B320" t="s">
        <v>80</v>
      </c>
      <c r="C320" t="s">
        <v>81</v>
      </c>
      <c r="D320">
        <v>29</v>
      </c>
      <c r="E320">
        <v>2.4666999999999999</v>
      </c>
    </row>
    <row r="321" spans="1:5" x14ac:dyDescent="0.25">
      <c r="A321" t="s">
        <v>58</v>
      </c>
      <c r="B321" t="s">
        <v>80</v>
      </c>
      <c r="C321" t="s">
        <v>79</v>
      </c>
      <c r="D321">
        <v>37</v>
      </c>
      <c r="E321">
        <v>4.0586000000000002</v>
      </c>
    </row>
    <row r="322" spans="1:5" x14ac:dyDescent="0.25">
      <c r="A322" t="s">
        <v>58</v>
      </c>
      <c r="B322" t="s">
        <v>82</v>
      </c>
      <c r="C322" t="s">
        <v>81</v>
      </c>
      <c r="D322">
        <v>128</v>
      </c>
      <c r="E322">
        <v>2.1315</v>
      </c>
    </row>
    <row r="323" spans="1:5" x14ac:dyDescent="0.25">
      <c r="A323" t="s">
        <v>58</v>
      </c>
      <c r="B323" t="s">
        <v>82</v>
      </c>
      <c r="C323" t="s">
        <v>79</v>
      </c>
      <c r="D323">
        <v>136</v>
      </c>
      <c r="E323">
        <v>3.8612000000000002</v>
      </c>
    </row>
    <row r="324" spans="1:5" x14ac:dyDescent="0.25">
      <c r="A324" t="s">
        <v>58</v>
      </c>
      <c r="B324" t="s">
        <v>83</v>
      </c>
      <c r="C324" t="s">
        <v>81</v>
      </c>
      <c r="D324">
        <v>101</v>
      </c>
      <c r="E324">
        <v>2.0295000000000001</v>
      </c>
    </row>
    <row r="325" spans="1:5" x14ac:dyDescent="0.25">
      <c r="A325" t="s">
        <v>58</v>
      </c>
      <c r="B325" t="s">
        <v>83</v>
      </c>
      <c r="C325" t="s">
        <v>79</v>
      </c>
      <c r="D325">
        <v>110</v>
      </c>
      <c r="E325">
        <v>4.0391000000000004</v>
      </c>
    </row>
    <row r="326" spans="1:5" x14ac:dyDescent="0.25">
      <c r="A326" t="s">
        <v>59</v>
      </c>
      <c r="B326" t="s">
        <v>80</v>
      </c>
      <c r="C326" t="s">
        <v>81</v>
      </c>
      <c r="D326">
        <v>12</v>
      </c>
      <c r="E326">
        <v>1.2907</v>
      </c>
    </row>
    <row r="327" spans="1:5" x14ac:dyDescent="0.25">
      <c r="A327" t="s">
        <v>59</v>
      </c>
      <c r="B327" t="s">
        <v>80</v>
      </c>
      <c r="C327" t="s">
        <v>79</v>
      </c>
      <c r="D327">
        <v>14</v>
      </c>
      <c r="E327">
        <v>3.37</v>
      </c>
    </row>
    <row r="328" spans="1:5" x14ac:dyDescent="0.25">
      <c r="A328" t="s">
        <v>59</v>
      </c>
      <c r="B328" t="s">
        <v>82</v>
      </c>
      <c r="C328" t="s">
        <v>81</v>
      </c>
      <c r="D328">
        <v>23</v>
      </c>
      <c r="E328">
        <v>3.6396999999999999</v>
      </c>
    </row>
    <row r="329" spans="1:5" x14ac:dyDescent="0.25">
      <c r="A329" t="s">
        <v>59</v>
      </c>
      <c r="B329" t="s">
        <v>82</v>
      </c>
      <c r="C329" t="s">
        <v>79</v>
      </c>
      <c r="D329">
        <v>30</v>
      </c>
      <c r="E329">
        <v>3.7934999999999999</v>
      </c>
    </row>
    <row r="330" spans="1:5" x14ac:dyDescent="0.25">
      <c r="A330" t="s">
        <v>59</v>
      </c>
      <c r="B330" t="s">
        <v>83</v>
      </c>
      <c r="C330" t="s">
        <v>81</v>
      </c>
      <c r="D330">
        <v>20</v>
      </c>
      <c r="E330">
        <v>1.7410000000000001</v>
      </c>
    </row>
    <row r="331" spans="1:5" x14ac:dyDescent="0.25">
      <c r="A331" t="s">
        <v>59</v>
      </c>
      <c r="B331" t="s">
        <v>83</v>
      </c>
      <c r="C331" t="s">
        <v>79</v>
      </c>
      <c r="D331">
        <v>25</v>
      </c>
      <c r="E331">
        <v>4.0628000000000002</v>
      </c>
    </row>
    <row r="332" spans="1:5" x14ac:dyDescent="0.25">
      <c r="A332" t="s">
        <v>60</v>
      </c>
      <c r="B332" t="s">
        <v>80</v>
      </c>
      <c r="C332" t="s">
        <v>81</v>
      </c>
      <c r="D332">
        <v>110</v>
      </c>
      <c r="E332">
        <v>2.7991999999999999</v>
      </c>
    </row>
    <row r="333" spans="1:5" x14ac:dyDescent="0.25">
      <c r="A333" t="s">
        <v>60</v>
      </c>
      <c r="B333" t="s">
        <v>80</v>
      </c>
      <c r="C333" t="s">
        <v>79</v>
      </c>
      <c r="D333">
        <v>113</v>
      </c>
      <c r="E333">
        <v>4.0149999999999997</v>
      </c>
    </row>
    <row r="334" spans="1:5" x14ac:dyDescent="0.25">
      <c r="A334" t="s">
        <v>60</v>
      </c>
      <c r="B334" t="s">
        <v>82</v>
      </c>
      <c r="C334" t="s">
        <v>81</v>
      </c>
      <c r="D334">
        <v>319</v>
      </c>
      <c r="E334">
        <v>2.3439000000000001</v>
      </c>
    </row>
    <row r="335" spans="1:5" x14ac:dyDescent="0.25">
      <c r="A335" t="s">
        <v>60</v>
      </c>
      <c r="B335" t="s">
        <v>82</v>
      </c>
      <c r="C335" t="s">
        <v>79</v>
      </c>
      <c r="D335">
        <v>281</v>
      </c>
      <c r="E335">
        <v>4.202</v>
      </c>
    </row>
    <row r="336" spans="1:5" x14ac:dyDescent="0.25">
      <c r="A336" t="s">
        <v>60</v>
      </c>
      <c r="B336" t="s">
        <v>83</v>
      </c>
      <c r="C336" t="s">
        <v>81</v>
      </c>
      <c r="D336">
        <v>253</v>
      </c>
      <c r="E336">
        <v>2.2827999999999999</v>
      </c>
    </row>
    <row r="337" spans="1:5" x14ac:dyDescent="0.25">
      <c r="A337" t="s">
        <v>60</v>
      </c>
      <c r="B337" t="s">
        <v>83</v>
      </c>
      <c r="C337" t="s">
        <v>79</v>
      </c>
      <c r="D337">
        <v>240</v>
      </c>
      <c r="E337">
        <v>4.5202999999999998</v>
      </c>
    </row>
    <row r="338" spans="1:5" x14ac:dyDescent="0.25">
      <c r="A338" t="s">
        <v>61</v>
      </c>
      <c r="B338" t="s">
        <v>80</v>
      </c>
      <c r="C338" t="s">
        <v>81</v>
      </c>
      <c r="D338">
        <v>41</v>
      </c>
      <c r="E338">
        <v>2.1175999999999999</v>
      </c>
    </row>
    <row r="339" spans="1:5" x14ac:dyDescent="0.25">
      <c r="A339" t="s">
        <v>61</v>
      </c>
      <c r="B339" t="s">
        <v>80</v>
      </c>
      <c r="C339" t="s">
        <v>79</v>
      </c>
      <c r="D339">
        <v>32</v>
      </c>
      <c r="E339">
        <v>3.9460999999999999</v>
      </c>
    </row>
    <row r="340" spans="1:5" x14ac:dyDescent="0.25">
      <c r="A340" t="s">
        <v>61</v>
      </c>
      <c r="B340" t="s">
        <v>82</v>
      </c>
      <c r="C340" t="s">
        <v>81</v>
      </c>
      <c r="D340">
        <v>112</v>
      </c>
      <c r="E340">
        <v>2.3755000000000002</v>
      </c>
    </row>
    <row r="341" spans="1:5" x14ac:dyDescent="0.25">
      <c r="A341" t="s">
        <v>61</v>
      </c>
      <c r="B341" t="s">
        <v>82</v>
      </c>
      <c r="C341" t="s">
        <v>79</v>
      </c>
      <c r="D341">
        <v>121</v>
      </c>
      <c r="E341">
        <v>4.0429000000000004</v>
      </c>
    </row>
    <row r="342" spans="1:5" x14ac:dyDescent="0.25">
      <c r="A342" t="s">
        <v>61</v>
      </c>
      <c r="B342" t="s">
        <v>83</v>
      </c>
      <c r="C342" t="s">
        <v>81</v>
      </c>
      <c r="D342">
        <v>85</v>
      </c>
      <c r="E342">
        <v>2.0788000000000002</v>
      </c>
    </row>
    <row r="343" spans="1:5" x14ac:dyDescent="0.25">
      <c r="A343" t="s">
        <v>61</v>
      </c>
      <c r="B343" t="s">
        <v>83</v>
      </c>
      <c r="C343" t="s">
        <v>79</v>
      </c>
      <c r="D343">
        <v>83</v>
      </c>
      <c r="E343">
        <v>3.8864000000000001</v>
      </c>
    </row>
    <row r="344" spans="1:5" x14ac:dyDescent="0.25">
      <c r="A344" t="s">
        <v>62</v>
      </c>
      <c r="B344" t="s">
        <v>80</v>
      </c>
      <c r="C344" t="s">
        <v>81</v>
      </c>
      <c r="D344">
        <v>7</v>
      </c>
      <c r="E344">
        <v>2.0684999999999998</v>
      </c>
    </row>
    <row r="345" spans="1:5" x14ac:dyDescent="0.25">
      <c r="A345" t="s">
        <v>62</v>
      </c>
      <c r="B345" t="s">
        <v>80</v>
      </c>
      <c r="C345" t="s">
        <v>79</v>
      </c>
      <c r="D345">
        <v>6</v>
      </c>
      <c r="E345">
        <v>5.2820999999999998</v>
      </c>
    </row>
    <row r="346" spans="1:5" x14ac:dyDescent="0.25">
      <c r="A346" t="s">
        <v>62</v>
      </c>
      <c r="B346" t="s">
        <v>82</v>
      </c>
      <c r="C346" t="s">
        <v>81</v>
      </c>
      <c r="D346">
        <v>32</v>
      </c>
      <c r="E346">
        <v>2.4075000000000002</v>
      </c>
    </row>
    <row r="347" spans="1:5" x14ac:dyDescent="0.25">
      <c r="A347" t="s">
        <v>62</v>
      </c>
      <c r="B347" t="s">
        <v>82</v>
      </c>
      <c r="C347" t="s">
        <v>79</v>
      </c>
      <c r="D347">
        <v>27</v>
      </c>
      <c r="E347">
        <v>3.8767</v>
      </c>
    </row>
    <row r="348" spans="1:5" x14ac:dyDescent="0.25">
      <c r="A348" t="s">
        <v>62</v>
      </c>
      <c r="B348" t="s">
        <v>83</v>
      </c>
      <c r="C348" t="s">
        <v>81</v>
      </c>
      <c r="D348">
        <v>13</v>
      </c>
      <c r="E348">
        <v>2.2930999999999999</v>
      </c>
    </row>
    <row r="349" spans="1:5" x14ac:dyDescent="0.25">
      <c r="A349" t="s">
        <v>62</v>
      </c>
      <c r="B349" t="s">
        <v>83</v>
      </c>
      <c r="C349" t="s">
        <v>79</v>
      </c>
      <c r="D349">
        <v>12</v>
      </c>
      <c r="E349">
        <v>3.7654999999999998</v>
      </c>
    </row>
    <row r="350" spans="1:5" x14ac:dyDescent="0.25">
      <c r="A350" t="s">
        <v>63</v>
      </c>
      <c r="B350" t="s">
        <v>80</v>
      </c>
      <c r="C350" t="s">
        <v>81</v>
      </c>
      <c r="D350">
        <v>614</v>
      </c>
      <c r="E350">
        <v>2.5236000000000001</v>
      </c>
    </row>
    <row r="351" spans="1:5" x14ac:dyDescent="0.25">
      <c r="A351" t="s">
        <v>63</v>
      </c>
      <c r="B351" t="s">
        <v>80</v>
      </c>
      <c r="C351" t="s">
        <v>79</v>
      </c>
      <c r="D351">
        <v>480</v>
      </c>
      <c r="E351">
        <v>4.0407999999999999</v>
      </c>
    </row>
    <row r="352" spans="1:5" x14ac:dyDescent="0.25">
      <c r="A352" t="s">
        <v>63</v>
      </c>
      <c r="B352" t="s">
        <v>82</v>
      </c>
      <c r="C352" t="s">
        <v>81</v>
      </c>
      <c r="D352">
        <v>2002</v>
      </c>
      <c r="E352">
        <v>2.3660999999999999</v>
      </c>
    </row>
    <row r="353" spans="1:5" x14ac:dyDescent="0.25">
      <c r="A353" t="s">
        <v>63</v>
      </c>
      <c r="B353" t="s">
        <v>82</v>
      </c>
      <c r="C353" t="s">
        <v>79</v>
      </c>
      <c r="D353">
        <v>1747</v>
      </c>
      <c r="E353">
        <v>4.1111000000000004</v>
      </c>
    </row>
    <row r="354" spans="1:5" x14ac:dyDescent="0.25">
      <c r="A354" t="s">
        <v>63</v>
      </c>
      <c r="B354" t="s">
        <v>83</v>
      </c>
      <c r="C354" t="s">
        <v>81</v>
      </c>
      <c r="D354">
        <v>1425</v>
      </c>
      <c r="E354">
        <v>2.3296999999999999</v>
      </c>
    </row>
    <row r="355" spans="1:5" x14ac:dyDescent="0.25">
      <c r="A355" t="s">
        <v>63</v>
      </c>
      <c r="B355" t="s">
        <v>83</v>
      </c>
      <c r="C355" t="s">
        <v>79</v>
      </c>
      <c r="D355">
        <v>1119</v>
      </c>
      <c r="E355">
        <v>4.2015000000000002</v>
      </c>
    </row>
    <row r="356" spans="1:5" x14ac:dyDescent="0.25">
      <c r="A356" t="s">
        <v>64</v>
      </c>
      <c r="B356" t="s">
        <v>80</v>
      </c>
      <c r="C356" t="s">
        <v>81</v>
      </c>
      <c r="D356">
        <v>380</v>
      </c>
      <c r="E356">
        <v>2.2088999999999999</v>
      </c>
    </row>
    <row r="357" spans="1:5" x14ac:dyDescent="0.25">
      <c r="A357" t="s">
        <v>64</v>
      </c>
      <c r="B357" t="s">
        <v>80</v>
      </c>
      <c r="C357" t="s">
        <v>79</v>
      </c>
      <c r="D357">
        <v>337</v>
      </c>
      <c r="E357">
        <v>4.0956000000000001</v>
      </c>
    </row>
    <row r="358" spans="1:5" x14ac:dyDescent="0.25">
      <c r="A358" t="s">
        <v>64</v>
      </c>
      <c r="B358" t="s">
        <v>82</v>
      </c>
      <c r="C358" t="s">
        <v>81</v>
      </c>
      <c r="D358">
        <v>1206</v>
      </c>
      <c r="E358">
        <v>2.4981</v>
      </c>
    </row>
    <row r="359" spans="1:5" x14ac:dyDescent="0.25">
      <c r="A359" t="s">
        <v>64</v>
      </c>
      <c r="B359" t="s">
        <v>82</v>
      </c>
      <c r="C359" t="s">
        <v>79</v>
      </c>
      <c r="D359">
        <v>1122</v>
      </c>
      <c r="E359">
        <v>4.0559000000000003</v>
      </c>
    </row>
    <row r="360" spans="1:5" x14ac:dyDescent="0.25">
      <c r="A360" t="s">
        <v>64</v>
      </c>
      <c r="B360" t="s">
        <v>83</v>
      </c>
      <c r="C360" t="s">
        <v>81</v>
      </c>
      <c r="D360">
        <v>832</v>
      </c>
      <c r="E360">
        <v>2.2814999999999999</v>
      </c>
    </row>
    <row r="361" spans="1:5" x14ac:dyDescent="0.25">
      <c r="A361" t="s">
        <v>64</v>
      </c>
      <c r="B361" t="s">
        <v>83</v>
      </c>
      <c r="C361" t="s">
        <v>79</v>
      </c>
      <c r="D361">
        <v>777</v>
      </c>
      <c r="E361">
        <v>3.9823</v>
      </c>
    </row>
    <row r="362" spans="1:5" x14ac:dyDescent="0.25">
      <c r="A362" t="s">
        <v>65</v>
      </c>
      <c r="B362" t="s">
        <v>80</v>
      </c>
      <c r="C362" t="s">
        <v>81</v>
      </c>
      <c r="D362">
        <v>1</v>
      </c>
      <c r="E362">
        <v>1</v>
      </c>
    </row>
    <row r="363" spans="1:5" x14ac:dyDescent="0.25">
      <c r="A363" t="s">
        <v>65</v>
      </c>
      <c r="B363" t="s">
        <v>80</v>
      </c>
      <c r="C363" t="s">
        <v>79</v>
      </c>
      <c r="D363">
        <v>1</v>
      </c>
      <c r="E363">
        <v>2</v>
      </c>
    </row>
    <row r="364" spans="1:5" x14ac:dyDescent="0.25">
      <c r="A364" t="s">
        <v>65</v>
      </c>
      <c r="B364" t="s">
        <v>82</v>
      </c>
      <c r="C364" t="s">
        <v>81</v>
      </c>
      <c r="D364">
        <v>2</v>
      </c>
      <c r="E364">
        <v>1</v>
      </c>
    </row>
    <row r="365" spans="1:5" x14ac:dyDescent="0.25">
      <c r="A365" t="s">
        <v>65</v>
      </c>
      <c r="B365" t="s">
        <v>83</v>
      </c>
      <c r="C365" t="s">
        <v>79</v>
      </c>
      <c r="D365">
        <v>2</v>
      </c>
      <c r="E365">
        <v>3.7391000000000001</v>
      </c>
    </row>
    <row r="366" spans="1:5" x14ac:dyDescent="0.25">
      <c r="A366" t="s">
        <v>66</v>
      </c>
      <c r="B366" t="s">
        <v>80</v>
      </c>
      <c r="C366" t="s">
        <v>81</v>
      </c>
      <c r="D366">
        <v>22</v>
      </c>
      <c r="E366">
        <v>1.6171</v>
      </c>
    </row>
    <row r="367" spans="1:5" x14ac:dyDescent="0.25">
      <c r="A367" t="s">
        <v>66</v>
      </c>
      <c r="B367" t="s">
        <v>80</v>
      </c>
      <c r="C367" t="s">
        <v>79</v>
      </c>
      <c r="D367">
        <v>31</v>
      </c>
      <c r="E367">
        <v>3.9790000000000001</v>
      </c>
    </row>
    <row r="368" spans="1:5" x14ac:dyDescent="0.25">
      <c r="A368" t="s">
        <v>66</v>
      </c>
      <c r="B368" t="s">
        <v>82</v>
      </c>
      <c r="C368" t="s">
        <v>81</v>
      </c>
      <c r="D368">
        <v>86</v>
      </c>
      <c r="E368">
        <v>2.6796000000000002</v>
      </c>
    </row>
    <row r="369" spans="1:5" x14ac:dyDescent="0.25">
      <c r="A369" t="s">
        <v>66</v>
      </c>
      <c r="B369" t="s">
        <v>82</v>
      </c>
      <c r="C369" t="s">
        <v>79</v>
      </c>
      <c r="D369">
        <v>78</v>
      </c>
      <c r="E369">
        <v>3.839</v>
      </c>
    </row>
    <row r="370" spans="1:5" x14ac:dyDescent="0.25">
      <c r="A370" t="s">
        <v>66</v>
      </c>
      <c r="B370" t="s">
        <v>83</v>
      </c>
      <c r="C370" t="s">
        <v>81</v>
      </c>
      <c r="D370">
        <v>52</v>
      </c>
      <c r="E370">
        <v>1.9705999999999999</v>
      </c>
    </row>
    <row r="371" spans="1:5" x14ac:dyDescent="0.25">
      <c r="A371" t="s">
        <v>66</v>
      </c>
      <c r="B371" t="s">
        <v>83</v>
      </c>
      <c r="C371" t="s">
        <v>79</v>
      </c>
      <c r="D371">
        <v>59</v>
      </c>
      <c r="E371">
        <v>4.1288999999999998</v>
      </c>
    </row>
    <row r="372" spans="1:5" x14ac:dyDescent="0.25">
      <c r="A372" t="s">
        <v>67</v>
      </c>
      <c r="B372" t="s">
        <v>80</v>
      </c>
      <c r="C372" t="s">
        <v>81</v>
      </c>
      <c r="D372">
        <v>97</v>
      </c>
      <c r="E372">
        <v>2.3144999999999998</v>
      </c>
    </row>
    <row r="373" spans="1:5" x14ac:dyDescent="0.25">
      <c r="A373" t="s">
        <v>67</v>
      </c>
      <c r="B373" t="s">
        <v>80</v>
      </c>
      <c r="C373" t="s">
        <v>79</v>
      </c>
      <c r="D373">
        <v>75</v>
      </c>
      <c r="E373">
        <v>4.3590999999999998</v>
      </c>
    </row>
    <row r="374" spans="1:5" x14ac:dyDescent="0.25">
      <c r="A374" t="s">
        <v>67</v>
      </c>
      <c r="B374" t="s">
        <v>82</v>
      </c>
      <c r="C374" t="s">
        <v>81</v>
      </c>
      <c r="D374">
        <v>267</v>
      </c>
      <c r="E374">
        <v>2.3083</v>
      </c>
    </row>
    <row r="375" spans="1:5" x14ac:dyDescent="0.25">
      <c r="A375" t="s">
        <v>67</v>
      </c>
      <c r="B375" t="s">
        <v>82</v>
      </c>
      <c r="C375" t="s">
        <v>79</v>
      </c>
      <c r="D375">
        <v>265</v>
      </c>
      <c r="E375">
        <v>4.2938000000000001</v>
      </c>
    </row>
    <row r="376" spans="1:5" x14ac:dyDescent="0.25">
      <c r="A376" t="s">
        <v>67</v>
      </c>
      <c r="B376" t="s">
        <v>83</v>
      </c>
      <c r="C376" t="s">
        <v>81</v>
      </c>
      <c r="D376">
        <v>225</v>
      </c>
      <c r="E376">
        <v>2.2347000000000001</v>
      </c>
    </row>
    <row r="377" spans="1:5" x14ac:dyDescent="0.25">
      <c r="A377" t="s">
        <v>67</v>
      </c>
      <c r="B377" t="s">
        <v>83</v>
      </c>
      <c r="C377" t="s">
        <v>79</v>
      </c>
      <c r="D377">
        <v>193</v>
      </c>
      <c r="E377">
        <v>4.0594000000000001</v>
      </c>
    </row>
    <row r="378" spans="1:5" x14ac:dyDescent="0.25">
      <c r="A378" t="s">
        <v>68</v>
      </c>
      <c r="B378" t="s">
        <v>80</v>
      </c>
      <c r="C378" t="s">
        <v>79</v>
      </c>
      <c r="D378">
        <v>2</v>
      </c>
      <c r="E378">
        <v>3.4706000000000001</v>
      </c>
    </row>
    <row r="379" spans="1:5" x14ac:dyDescent="0.25">
      <c r="A379" t="s">
        <v>68</v>
      </c>
      <c r="B379" t="s">
        <v>82</v>
      </c>
      <c r="C379" t="s">
        <v>81</v>
      </c>
      <c r="D379">
        <v>5</v>
      </c>
      <c r="E379">
        <v>1.0741000000000001</v>
      </c>
    </row>
    <row r="380" spans="1:5" x14ac:dyDescent="0.25">
      <c r="A380" t="s">
        <v>68</v>
      </c>
      <c r="B380" t="s">
        <v>82</v>
      </c>
      <c r="C380" t="s">
        <v>79</v>
      </c>
      <c r="D380">
        <v>21</v>
      </c>
      <c r="E380">
        <v>4.2454999999999998</v>
      </c>
    </row>
    <row r="381" spans="1:5" x14ac:dyDescent="0.25">
      <c r="A381" t="s">
        <v>68</v>
      </c>
      <c r="B381" t="s">
        <v>83</v>
      </c>
      <c r="C381" t="s">
        <v>81</v>
      </c>
      <c r="D381">
        <v>6</v>
      </c>
      <c r="E381">
        <v>1.6809000000000001</v>
      </c>
    </row>
    <row r="382" spans="1:5" x14ac:dyDescent="0.25">
      <c r="A382" t="s">
        <v>68</v>
      </c>
      <c r="B382" t="s">
        <v>83</v>
      </c>
      <c r="C382" t="s">
        <v>79</v>
      </c>
      <c r="D382">
        <v>3</v>
      </c>
      <c r="E382">
        <v>2.8367</v>
      </c>
    </row>
    <row r="383" spans="1:5" x14ac:dyDescent="0.25">
      <c r="A383" t="s">
        <v>69</v>
      </c>
      <c r="B383" t="s">
        <v>80</v>
      </c>
      <c r="C383" t="s">
        <v>81</v>
      </c>
      <c r="D383">
        <v>952</v>
      </c>
      <c r="E383">
        <v>2.3357999999999999</v>
      </c>
    </row>
    <row r="384" spans="1:5" x14ac:dyDescent="0.25">
      <c r="A384" t="s">
        <v>69</v>
      </c>
      <c r="B384" t="s">
        <v>80</v>
      </c>
      <c r="C384" t="s">
        <v>79</v>
      </c>
      <c r="D384">
        <v>838</v>
      </c>
      <c r="E384">
        <v>3.9685999999999999</v>
      </c>
    </row>
    <row r="385" spans="1:5" x14ac:dyDescent="0.25">
      <c r="A385" t="s">
        <v>69</v>
      </c>
      <c r="B385" t="s">
        <v>82</v>
      </c>
      <c r="C385" t="s">
        <v>81</v>
      </c>
      <c r="D385">
        <v>3294</v>
      </c>
      <c r="E385">
        <v>2.2965</v>
      </c>
    </row>
    <row r="386" spans="1:5" x14ac:dyDescent="0.25">
      <c r="A386" t="s">
        <v>69</v>
      </c>
      <c r="B386" t="s">
        <v>82</v>
      </c>
      <c r="C386" t="s">
        <v>79</v>
      </c>
      <c r="D386">
        <v>2801</v>
      </c>
      <c r="E386">
        <v>4.1840000000000002</v>
      </c>
    </row>
    <row r="387" spans="1:5" x14ac:dyDescent="0.25">
      <c r="A387" t="s">
        <v>69</v>
      </c>
      <c r="B387" t="s">
        <v>83</v>
      </c>
      <c r="C387" t="s">
        <v>81</v>
      </c>
      <c r="D387">
        <v>2321</v>
      </c>
      <c r="E387">
        <v>2.2772000000000001</v>
      </c>
    </row>
    <row r="388" spans="1:5" x14ac:dyDescent="0.25">
      <c r="A388" t="s">
        <v>69</v>
      </c>
      <c r="B388" t="s">
        <v>83</v>
      </c>
      <c r="C388" t="s">
        <v>79</v>
      </c>
      <c r="D388">
        <v>1903</v>
      </c>
      <c r="E388">
        <v>4.2324999999999999</v>
      </c>
    </row>
    <row r="389" spans="1:5" x14ac:dyDescent="0.25">
      <c r="A389" t="s">
        <v>70</v>
      </c>
      <c r="B389" t="s">
        <v>80</v>
      </c>
      <c r="C389" t="s">
        <v>81</v>
      </c>
      <c r="D389">
        <v>589</v>
      </c>
      <c r="E389">
        <v>2.3721000000000001</v>
      </c>
    </row>
    <row r="390" spans="1:5" x14ac:dyDescent="0.25">
      <c r="A390" t="s">
        <v>70</v>
      </c>
      <c r="B390" t="s">
        <v>80</v>
      </c>
      <c r="C390" t="s">
        <v>79</v>
      </c>
      <c r="D390">
        <v>454</v>
      </c>
      <c r="E390">
        <v>4.1593999999999998</v>
      </c>
    </row>
    <row r="391" spans="1:5" x14ac:dyDescent="0.25">
      <c r="A391" t="s">
        <v>70</v>
      </c>
      <c r="B391" t="s">
        <v>82</v>
      </c>
      <c r="C391" t="s">
        <v>81</v>
      </c>
      <c r="D391">
        <v>1928</v>
      </c>
      <c r="E391">
        <v>2.3696999999999999</v>
      </c>
    </row>
    <row r="392" spans="1:5" x14ac:dyDescent="0.25">
      <c r="A392" t="s">
        <v>70</v>
      </c>
      <c r="B392" t="s">
        <v>82</v>
      </c>
      <c r="C392" t="s">
        <v>79</v>
      </c>
      <c r="D392">
        <v>1667</v>
      </c>
      <c r="E392">
        <v>4.1313000000000004</v>
      </c>
    </row>
    <row r="393" spans="1:5" x14ac:dyDescent="0.25">
      <c r="A393" t="s">
        <v>70</v>
      </c>
      <c r="B393" t="s">
        <v>83</v>
      </c>
      <c r="C393" t="s">
        <v>81</v>
      </c>
      <c r="D393">
        <v>1431</v>
      </c>
      <c r="E393">
        <v>2.3641999999999999</v>
      </c>
    </row>
    <row r="394" spans="1:5" x14ac:dyDescent="0.25">
      <c r="A394" t="s">
        <v>70</v>
      </c>
      <c r="B394" t="s">
        <v>83</v>
      </c>
      <c r="C394" t="s">
        <v>79</v>
      </c>
      <c r="D394">
        <v>1191</v>
      </c>
      <c r="E394">
        <v>4.1204999999999998</v>
      </c>
    </row>
    <row r="395" spans="1:5" x14ac:dyDescent="0.25">
      <c r="A395" t="s">
        <v>71</v>
      </c>
      <c r="B395" t="s">
        <v>80</v>
      </c>
      <c r="C395" t="s">
        <v>81</v>
      </c>
      <c r="D395">
        <v>5</v>
      </c>
      <c r="E395">
        <v>1.8448</v>
      </c>
    </row>
    <row r="396" spans="1:5" x14ac:dyDescent="0.25">
      <c r="A396" t="s">
        <v>71</v>
      </c>
      <c r="B396" t="s">
        <v>80</v>
      </c>
      <c r="C396" t="s">
        <v>79</v>
      </c>
      <c r="D396">
        <v>6</v>
      </c>
      <c r="E396">
        <v>3.8700999999999999</v>
      </c>
    </row>
    <row r="397" spans="1:5" x14ac:dyDescent="0.25">
      <c r="A397" t="s">
        <v>71</v>
      </c>
      <c r="B397" t="s">
        <v>82</v>
      </c>
      <c r="C397" t="s">
        <v>81</v>
      </c>
      <c r="D397">
        <v>14</v>
      </c>
      <c r="E397">
        <v>2.6126999999999998</v>
      </c>
    </row>
    <row r="398" spans="1:5" x14ac:dyDescent="0.25">
      <c r="A398" t="s">
        <v>71</v>
      </c>
      <c r="B398" t="s">
        <v>82</v>
      </c>
      <c r="C398" t="s">
        <v>79</v>
      </c>
      <c r="D398">
        <v>16</v>
      </c>
      <c r="E398">
        <v>4.2980999999999998</v>
      </c>
    </row>
    <row r="399" spans="1:5" x14ac:dyDescent="0.25">
      <c r="A399" t="s">
        <v>71</v>
      </c>
      <c r="B399" t="s">
        <v>83</v>
      </c>
      <c r="C399" t="s">
        <v>81</v>
      </c>
      <c r="D399">
        <v>9</v>
      </c>
      <c r="E399">
        <v>1.6980999999999999</v>
      </c>
    </row>
    <row r="400" spans="1:5" x14ac:dyDescent="0.25">
      <c r="A400" t="s">
        <v>71</v>
      </c>
      <c r="B400" t="s">
        <v>83</v>
      </c>
      <c r="C400" t="s">
        <v>79</v>
      </c>
      <c r="D400">
        <v>9</v>
      </c>
      <c r="E400">
        <v>4</v>
      </c>
    </row>
    <row r="401" spans="1:5" x14ac:dyDescent="0.25">
      <c r="A401" t="s">
        <v>72</v>
      </c>
      <c r="B401" t="s">
        <v>80</v>
      </c>
      <c r="C401" t="s">
        <v>81</v>
      </c>
      <c r="D401">
        <v>416</v>
      </c>
      <c r="E401">
        <v>2.4750000000000001</v>
      </c>
    </row>
    <row r="402" spans="1:5" x14ac:dyDescent="0.25">
      <c r="A402" t="s">
        <v>72</v>
      </c>
      <c r="B402" t="s">
        <v>80</v>
      </c>
      <c r="C402" t="s">
        <v>79</v>
      </c>
      <c r="D402">
        <v>330</v>
      </c>
      <c r="E402">
        <v>4.1750999999999996</v>
      </c>
    </row>
    <row r="403" spans="1:5" x14ac:dyDescent="0.25">
      <c r="A403" t="s">
        <v>72</v>
      </c>
      <c r="B403" t="s">
        <v>82</v>
      </c>
      <c r="C403" t="s">
        <v>81</v>
      </c>
      <c r="D403">
        <v>1307</v>
      </c>
      <c r="E403">
        <v>2.3475999999999999</v>
      </c>
    </row>
    <row r="404" spans="1:5" x14ac:dyDescent="0.25">
      <c r="A404" t="s">
        <v>72</v>
      </c>
      <c r="B404" t="s">
        <v>82</v>
      </c>
      <c r="C404" t="s">
        <v>79</v>
      </c>
      <c r="D404">
        <v>1140</v>
      </c>
      <c r="E404">
        <v>4.1176000000000004</v>
      </c>
    </row>
    <row r="405" spans="1:5" x14ac:dyDescent="0.25">
      <c r="A405" t="s">
        <v>72</v>
      </c>
      <c r="B405" t="s">
        <v>83</v>
      </c>
      <c r="C405" t="s">
        <v>81</v>
      </c>
      <c r="D405">
        <v>878</v>
      </c>
      <c r="E405">
        <v>2.2886000000000002</v>
      </c>
    </row>
    <row r="406" spans="1:5" x14ac:dyDescent="0.25">
      <c r="A406" t="s">
        <v>72</v>
      </c>
      <c r="B406" t="s">
        <v>83</v>
      </c>
      <c r="C406" t="s">
        <v>79</v>
      </c>
      <c r="D406">
        <v>824</v>
      </c>
      <c r="E406">
        <v>4.0564999999999998</v>
      </c>
    </row>
    <row r="407" spans="1:5" x14ac:dyDescent="0.25">
      <c r="A407" t="s">
        <v>73</v>
      </c>
      <c r="B407" t="s">
        <v>80</v>
      </c>
      <c r="C407" t="s">
        <v>81</v>
      </c>
      <c r="D407">
        <v>523</v>
      </c>
      <c r="E407">
        <v>2.3990999999999998</v>
      </c>
    </row>
    <row r="408" spans="1:5" x14ac:dyDescent="0.25">
      <c r="A408" t="s">
        <v>73</v>
      </c>
      <c r="B408" t="s">
        <v>80</v>
      </c>
      <c r="C408" t="s">
        <v>79</v>
      </c>
      <c r="D408">
        <v>402</v>
      </c>
      <c r="E408">
        <v>3.9121999999999999</v>
      </c>
    </row>
    <row r="409" spans="1:5" x14ac:dyDescent="0.25">
      <c r="A409" t="s">
        <v>73</v>
      </c>
      <c r="B409" t="s">
        <v>82</v>
      </c>
      <c r="C409" t="s">
        <v>81</v>
      </c>
      <c r="D409">
        <v>1807</v>
      </c>
      <c r="E409">
        <v>2.2989999999999999</v>
      </c>
    </row>
    <row r="410" spans="1:5" x14ac:dyDescent="0.25">
      <c r="A410" t="s">
        <v>73</v>
      </c>
      <c r="B410" t="s">
        <v>82</v>
      </c>
      <c r="C410" t="s">
        <v>79</v>
      </c>
      <c r="D410">
        <v>1548</v>
      </c>
      <c r="E410">
        <v>4.1014999999999997</v>
      </c>
    </row>
    <row r="411" spans="1:5" x14ac:dyDescent="0.25">
      <c r="A411" t="s">
        <v>73</v>
      </c>
      <c r="B411" t="s">
        <v>83</v>
      </c>
      <c r="C411" t="s">
        <v>81</v>
      </c>
      <c r="D411">
        <v>1254</v>
      </c>
      <c r="E411">
        <v>2.2483</v>
      </c>
    </row>
    <row r="412" spans="1:5" x14ac:dyDescent="0.25">
      <c r="A412" t="s">
        <v>73</v>
      </c>
      <c r="B412" t="s">
        <v>83</v>
      </c>
      <c r="C412" t="s">
        <v>79</v>
      </c>
      <c r="D412">
        <v>1048</v>
      </c>
      <c r="E412">
        <v>4.2234999999999996</v>
      </c>
    </row>
    <row r="413" spans="1:5" x14ac:dyDescent="0.25">
      <c r="A413" t="s">
        <v>74</v>
      </c>
      <c r="B413" t="s">
        <v>80</v>
      </c>
      <c r="C413" t="s">
        <v>81</v>
      </c>
      <c r="D413">
        <v>454</v>
      </c>
      <c r="E413">
        <v>2.2671000000000001</v>
      </c>
    </row>
    <row r="414" spans="1:5" x14ac:dyDescent="0.25">
      <c r="A414" t="s">
        <v>74</v>
      </c>
      <c r="B414" t="s">
        <v>80</v>
      </c>
      <c r="C414" t="s">
        <v>79</v>
      </c>
      <c r="D414">
        <v>382</v>
      </c>
      <c r="E414">
        <v>3.8130000000000002</v>
      </c>
    </row>
    <row r="415" spans="1:5" x14ac:dyDescent="0.25">
      <c r="A415" t="s">
        <v>74</v>
      </c>
      <c r="B415" t="s">
        <v>82</v>
      </c>
      <c r="C415" t="s">
        <v>81</v>
      </c>
      <c r="D415">
        <v>1526</v>
      </c>
      <c r="E415">
        <v>2.4203999999999999</v>
      </c>
    </row>
    <row r="416" spans="1:5" x14ac:dyDescent="0.25">
      <c r="A416" t="s">
        <v>74</v>
      </c>
      <c r="B416" t="s">
        <v>82</v>
      </c>
      <c r="C416" t="s">
        <v>79</v>
      </c>
      <c r="D416">
        <v>1417</v>
      </c>
      <c r="E416">
        <v>4.1642999999999999</v>
      </c>
    </row>
    <row r="417" spans="1:5" x14ac:dyDescent="0.25">
      <c r="A417" t="s">
        <v>74</v>
      </c>
      <c r="B417" t="s">
        <v>83</v>
      </c>
      <c r="C417" t="s">
        <v>81</v>
      </c>
      <c r="D417">
        <v>1153</v>
      </c>
      <c r="E417">
        <v>2.2728999999999999</v>
      </c>
    </row>
    <row r="418" spans="1:5" x14ac:dyDescent="0.25">
      <c r="A418" t="s">
        <v>74</v>
      </c>
      <c r="B418" t="s">
        <v>83</v>
      </c>
      <c r="C418" t="s">
        <v>79</v>
      </c>
      <c r="D418">
        <v>1002</v>
      </c>
      <c r="E418">
        <v>4.0293000000000001</v>
      </c>
    </row>
  </sheetData>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98DE-4E7E-47CB-A76F-F6F61584673F}">
  <sheetPr>
    <tabColor rgb="FFFF66FF"/>
  </sheetPr>
  <dimension ref="A1:H104"/>
  <sheetViews>
    <sheetView topLeftCell="G1" zoomScale="76" workbookViewId="0">
      <selection activeCell="T3" sqref="T3"/>
    </sheetView>
  </sheetViews>
  <sheetFormatPr defaultRowHeight="15" x14ac:dyDescent="0.25"/>
  <cols>
    <col min="1" max="1" width="41.140625" bestFit="1" customWidth="1"/>
    <col min="2" max="2" width="14.7109375" bestFit="1" customWidth="1"/>
    <col min="3" max="3" width="16.7109375" bestFit="1" customWidth="1"/>
    <col min="4" max="4" width="23.140625" bestFit="1" customWidth="1"/>
    <col min="6" max="6" width="41.140625" bestFit="1" customWidth="1"/>
    <col min="7" max="7" width="21.140625" bestFit="1" customWidth="1"/>
    <col min="8" max="8" width="27.7109375" bestFit="1" customWidth="1"/>
    <col min="9" max="9" width="4" bestFit="1" customWidth="1"/>
    <col min="10" max="10" width="22.42578125" bestFit="1" customWidth="1"/>
    <col min="11" max="11" width="6.28515625" bestFit="1" customWidth="1"/>
    <col min="12" max="13" width="5.28515625" bestFit="1" customWidth="1"/>
    <col min="14" max="14" width="15.42578125" bestFit="1" customWidth="1"/>
    <col min="15" max="15" width="22.85546875" bestFit="1" customWidth="1"/>
    <col min="16" max="17" width="15.7109375" bestFit="1" customWidth="1"/>
    <col min="18" max="18" width="18.42578125" bestFit="1" customWidth="1"/>
    <col min="19" max="19" width="18.5703125" bestFit="1" customWidth="1"/>
    <col min="20" max="20" width="11.28515625" bestFit="1" customWidth="1"/>
    <col min="21" max="21" width="10.7109375" bestFit="1" customWidth="1"/>
    <col min="22" max="22" width="22.42578125" bestFit="1" customWidth="1"/>
    <col min="23" max="23" width="16.28515625" bestFit="1" customWidth="1"/>
    <col min="24" max="24" width="31" bestFit="1" customWidth="1"/>
    <col min="25" max="25" width="24.5703125" bestFit="1" customWidth="1"/>
    <col min="26" max="26" width="25" bestFit="1" customWidth="1"/>
    <col min="27" max="27" width="10.28515625" bestFit="1" customWidth="1"/>
    <col min="28" max="28" width="24.85546875" bestFit="1" customWidth="1"/>
    <col min="29" max="29" width="23" bestFit="1" customWidth="1"/>
    <col min="30" max="30" width="20.85546875" bestFit="1" customWidth="1"/>
    <col min="31" max="31" width="6.5703125" bestFit="1" customWidth="1"/>
    <col min="32" max="32" width="13.42578125" bestFit="1" customWidth="1"/>
    <col min="33" max="33" width="10.5703125" bestFit="1" customWidth="1"/>
    <col min="34" max="34" width="23.140625" bestFit="1" customWidth="1"/>
    <col min="35" max="35" width="24.5703125" bestFit="1" customWidth="1"/>
    <col min="36" max="36" width="25.5703125" bestFit="1" customWidth="1"/>
    <col min="37" max="37" width="22.28515625" bestFit="1" customWidth="1"/>
    <col min="38" max="38" width="14.28515625" bestFit="1" customWidth="1"/>
    <col min="39" max="39" width="13.7109375" bestFit="1" customWidth="1"/>
    <col min="40" max="40" width="25.7109375" bestFit="1" customWidth="1"/>
    <col min="41" max="41" width="16.42578125" bestFit="1" customWidth="1"/>
    <col min="42" max="42" width="8" bestFit="1" customWidth="1"/>
    <col min="43" max="43" width="5.42578125" bestFit="1" customWidth="1"/>
    <col min="44" max="44" width="11.140625" bestFit="1" customWidth="1"/>
    <col min="45" max="45" width="18.7109375" bestFit="1" customWidth="1"/>
    <col min="46" max="46" width="15.5703125" bestFit="1" customWidth="1"/>
    <col min="47" max="47" width="22" bestFit="1" customWidth="1"/>
    <col min="48" max="48" width="34.42578125" bestFit="1" customWidth="1"/>
    <col min="49" max="49" width="13.42578125" bestFit="1" customWidth="1"/>
    <col min="50" max="50" width="14.140625" bestFit="1" customWidth="1"/>
    <col min="51" max="51" width="17.28515625" bestFit="1" customWidth="1"/>
    <col min="52" max="52" width="19.28515625" bestFit="1" customWidth="1"/>
    <col min="53" max="53" width="16.7109375" bestFit="1" customWidth="1"/>
    <col min="54" max="54" width="14.140625" bestFit="1" customWidth="1"/>
    <col min="55" max="55" width="18.85546875" bestFit="1" customWidth="1"/>
    <col min="56" max="56" width="11.85546875" bestFit="1" customWidth="1"/>
    <col min="57" max="57" width="32.85546875" bestFit="1" customWidth="1"/>
    <col min="58" max="58" width="40.28515625" bestFit="1" customWidth="1"/>
    <col min="59" max="59" width="10.42578125" bestFit="1" customWidth="1"/>
    <col min="60" max="60" width="19.7109375" bestFit="1" customWidth="1"/>
    <col min="61" max="61" width="13.28515625" bestFit="1" customWidth="1"/>
    <col min="62" max="62" width="6.28515625" bestFit="1" customWidth="1"/>
    <col min="63" max="63" width="19.85546875" bestFit="1" customWidth="1"/>
    <col min="64" max="64" width="15.85546875" bestFit="1" customWidth="1"/>
    <col min="65" max="65" width="14.28515625" bestFit="1" customWidth="1"/>
    <col min="66" max="66" width="10.42578125" bestFit="1" customWidth="1"/>
    <col min="67" max="67" width="9.42578125" bestFit="1" customWidth="1"/>
    <col min="68" max="68" width="21.42578125" bestFit="1" customWidth="1"/>
    <col min="69" max="69" width="22.140625" bestFit="1" customWidth="1"/>
    <col min="70" max="70" width="16.7109375" bestFit="1" customWidth="1"/>
    <col min="71" max="71" width="41.140625" bestFit="1" customWidth="1"/>
    <col min="72" max="72" width="14.140625" bestFit="1" customWidth="1"/>
    <col min="73" max="73" width="10.140625" bestFit="1" customWidth="1"/>
    <col min="74" max="74" width="22.28515625" bestFit="1" customWidth="1"/>
    <col min="75" max="75" width="10.42578125" bestFit="1" customWidth="1"/>
    <col min="76" max="76" width="5" bestFit="1" customWidth="1"/>
    <col min="77" max="77" width="14.140625" bestFit="1" customWidth="1"/>
    <col min="78" max="78" width="7.28515625" bestFit="1" customWidth="1"/>
    <col min="79" max="79" width="11.28515625" bestFit="1" customWidth="1"/>
  </cols>
  <sheetData>
    <row r="1" spans="1:8" x14ac:dyDescent="0.25">
      <c r="A1" t="s">
        <v>0</v>
      </c>
      <c r="B1" t="s">
        <v>1</v>
      </c>
      <c r="C1" t="s">
        <v>2</v>
      </c>
      <c r="D1" t="s">
        <v>3</v>
      </c>
    </row>
    <row r="2" spans="1:8" x14ac:dyDescent="0.25">
      <c r="B2">
        <v>3</v>
      </c>
    </row>
    <row r="3" spans="1:8" x14ac:dyDescent="0.25">
      <c r="A3" t="s">
        <v>4</v>
      </c>
      <c r="B3">
        <v>393</v>
      </c>
      <c r="C3">
        <v>28324410.778000023</v>
      </c>
      <c r="D3">
        <v>5529.9513428348346</v>
      </c>
      <c r="F3" s="1" t="s">
        <v>89</v>
      </c>
      <c r="G3" t="s">
        <v>92</v>
      </c>
      <c r="H3" s="6" t="s">
        <v>99</v>
      </c>
    </row>
    <row r="4" spans="1:8" x14ac:dyDescent="0.25">
      <c r="A4" t="s">
        <v>5</v>
      </c>
      <c r="B4">
        <v>627</v>
      </c>
      <c r="C4">
        <v>48520972.90999981</v>
      </c>
      <c r="D4">
        <v>5978.4343161655752</v>
      </c>
      <c r="F4" s="2" t="s">
        <v>9</v>
      </c>
      <c r="G4" s="4">
        <v>582614748.64199567</v>
      </c>
      <c r="H4">
        <f>SUM(C:C)</f>
        <v>11794729451.752832</v>
      </c>
    </row>
    <row r="5" spans="1:8" x14ac:dyDescent="0.25">
      <c r="A5" t="s">
        <v>6</v>
      </c>
      <c r="B5">
        <v>210</v>
      </c>
      <c r="C5">
        <v>13150660.755999999</v>
      </c>
      <c r="D5">
        <v>4960.6415526216515</v>
      </c>
      <c r="F5" s="2" t="s">
        <v>11</v>
      </c>
      <c r="G5" s="4">
        <v>1088635622.5939415</v>
      </c>
    </row>
    <row r="6" spans="1:8" x14ac:dyDescent="0.25">
      <c r="A6" t="s">
        <v>7</v>
      </c>
      <c r="B6">
        <v>59</v>
      </c>
      <c r="C6">
        <v>5519837.123000036</v>
      </c>
      <c r="D6">
        <v>8931.7752799353329</v>
      </c>
      <c r="F6" s="2" t="s">
        <v>19</v>
      </c>
      <c r="G6" s="4">
        <v>575756372.83798873</v>
      </c>
      <c r="H6">
        <f>SUM(B:B)</f>
        <v>138017</v>
      </c>
    </row>
    <row r="7" spans="1:8" x14ac:dyDescent="0.25">
      <c r="A7" t="s">
        <v>8</v>
      </c>
      <c r="B7">
        <v>40</v>
      </c>
      <c r="C7">
        <v>15309562.157999996</v>
      </c>
      <c r="D7">
        <v>33137.580428571418</v>
      </c>
      <c r="F7" s="2" t="s">
        <v>43</v>
      </c>
      <c r="G7" s="4">
        <v>1114037603.5879874</v>
      </c>
    </row>
    <row r="8" spans="1:8" x14ac:dyDescent="0.25">
      <c r="A8" t="s">
        <v>9</v>
      </c>
      <c r="B8">
        <v>7074</v>
      </c>
      <c r="C8">
        <v>582614748.64199567</v>
      </c>
      <c r="D8">
        <v>6234.2408954351413</v>
      </c>
      <c r="F8" s="2" t="s">
        <v>47</v>
      </c>
      <c r="G8" s="4">
        <v>879417783.62096739</v>
      </c>
      <c r="H8" t="s">
        <v>98</v>
      </c>
    </row>
    <row r="9" spans="1:8" x14ac:dyDescent="0.25">
      <c r="A9" t="s">
        <v>10</v>
      </c>
      <c r="B9">
        <v>4439</v>
      </c>
      <c r="C9">
        <v>336341199.57000065</v>
      </c>
      <c r="D9">
        <v>5801.8871430543004</v>
      </c>
      <c r="F9" s="2" t="s">
        <v>53</v>
      </c>
      <c r="G9" s="4">
        <v>836688030.46598494</v>
      </c>
      <c r="H9">
        <f>AVERAGE(D:D)</f>
        <v>12119.210812049707</v>
      </c>
    </row>
    <row r="10" spans="1:8" x14ac:dyDescent="0.25">
      <c r="A10" t="s">
        <v>11</v>
      </c>
      <c r="B10">
        <v>13213</v>
      </c>
      <c r="C10">
        <v>1088635622.5939415</v>
      </c>
      <c r="D10">
        <v>5928.5160820246556</v>
      </c>
      <c r="F10" s="2" t="s">
        <v>69</v>
      </c>
      <c r="G10" s="4">
        <v>1045712435.5229565</v>
      </c>
    </row>
    <row r="11" spans="1:8" x14ac:dyDescent="0.25">
      <c r="A11" t="s">
        <v>12</v>
      </c>
      <c r="B11">
        <v>1937</v>
      </c>
      <c r="C11">
        <v>58604853.052999385</v>
      </c>
      <c r="D11">
        <v>2284.61145536408</v>
      </c>
      <c r="F11" s="2" t="s">
        <v>72</v>
      </c>
      <c r="G11" s="4">
        <v>384821123.98300844</v>
      </c>
    </row>
    <row r="12" spans="1:8" x14ac:dyDescent="0.25">
      <c r="A12" t="s">
        <v>13</v>
      </c>
      <c r="B12">
        <v>282</v>
      </c>
      <c r="C12">
        <v>6996074.3379999679</v>
      </c>
      <c r="D12">
        <v>1913.5870727571028</v>
      </c>
      <c r="F12" s="2" t="s">
        <v>73</v>
      </c>
      <c r="G12" s="4">
        <v>513758134.16301233</v>
      </c>
    </row>
    <row r="13" spans="1:8" x14ac:dyDescent="0.25">
      <c r="A13" t="s">
        <v>14</v>
      </c>
      <c r="B13">
        <v>1173</v>
      </c>
      <c r="C13">
        <v>39249604.014000297</v>
      </c>
      <c r="D13">
        <v>2624.3383266916485</v>
      </c>
      <c r="F13" s="2" t="s">
        <v>74</v>
      </c>
      <c r="G13" s="4">
        <v>472548384.19499761</v>
      </c>
    </row>
    <row r="14" spans="1:8" x14ac:dyDescent="0.25">
      <c r="A14" t="s">
        <v>15</v>
      </c>
      <c r="B14">
        <v>5</v>
      </c>
      <c r="C14">
        <v>1019209.960000001</v>
      </c>
      <c r="D14">
        <v>16986.832666666684</v>
      </c>
      <c r="F14" s="2" t="s">
        <v>91</v>
      </c>
      <c r="G14" s="4">
        <v>7493990239.6128416</v>
      </c>
    </row>
    <row r="15" spans="1:8" x14ac:dyDescent="0.25">
      <c r="A15" t="s">
        <v>16</v>
      </c>
      <c r="B15">
        <v>323</v>
      </c>
      <c r="C15">
        <v>24714953.862000175</v>
      </c>
      <c r="D15">
        <v>6143.4138359433691</v>
      </c>
    </row>
    <row r="16" spans="1:8" x14ac:dyDescent="0.25">
      <c r="A16" t="s">
        <v>17</v>
      </c>
      <c r="B16">
        <v>152</v>
      </c>
      <c r="C16">
        <v>12376800.464000039</v>
      </c>
      <c r="D16">
        <v>6815.4187577092725</v>
      </c>
    </row>
    <row r="17" spans="1:8" x14ac:dyDescent="0.25">
      <c r="A17" t="s">
        <v>18</v>
      </c>
      <c r="B17">
        <v>38</v>
      </c>
      <c r="C17">
        <v>9928353.4410000127</v>
      </c>
      <c r="D17">
        <v>22771.452846330303</v>
      </c>
    </row>
    <row r="18" spans="1:8" x14ac:dyDescent="0.25">
      <c r="A18" t="s">
        <v>19</v>
      </c>
      <c r="B18">
        <v>2090</v>
      </c>
      <c r="C18">
        <v>575756372.83798873</v>
      </c>
      <c r="D18">
        <v>21599.503782937754</v>
      </c>
    </row>
    <row r="19" spans="1:8" x14ac:dyDescent="0.25">
      <c r="A19" t="s">
        <v>20</v>
      </c>
      <c r="B19">
        <v>390</v>
      </c>
      <c r="C19">
        <v>111144416.95500065</v>
      </c>
      <c r="D19">
        <v>23044.664514824934</v>
      </c>
    </row>
    <row r="20" spans="1:8" x14ac:dyDescent="0.25">
      <c r="A20" t="s">
        <v>21</v>
      </c>
      <c r="B20">
        <v>1898</v>
      </c>
      <c r="C20">
        <v>144518863.85200012</v>
      </c>
      <c r="D20">
        <v>5820.8016695666229</v>
      </c>
    </row>
    <row r="21" spans="1:8" x14ac:dyDescent="0.25">
      <c r="A21" t="s">
        <v>22</v>
      </c>
      <c r="B21">
        <v>406</v>
      </c>
      <c r="C21">
        <v>29064888.169000063</v>
      </c>
      <c r="D21">
        <v>5684.5077584588425</v>
      </c>
    </row>
    <row r="22" spans="1:8" x14ac:dyDescent="0.25">
      <c r="A22" t="s">
        <v>23</v>
      </c>
      <c r="B22">
        <v>421</v>
      </c>
      <c r="C22">
        <v>28336907.244000208</v>
      </c>
      <c r="D22">
        <v>5174.7456617969701</v>
      </c>
    </row>
    <row r="23" spans="1:8" x14ac:dyDescent="0.25">
      <c r="A23" t="s">
        <v>24</v>
      </c>
      <c r="B23">
        <v>3682</v>
      </c>
      <c r="C23">
        <v>290511780.75801092</v>
      </c>
      <c r="D23">
        <v>6119.2581518275074</v>
      </c>
    </row>
    <row r="24" spans="1:8" x14ac:dyDescent="0.25">
      <c r="A24" t="s">
        <v>25</v>
      </c>
      <c r="B24">
        <v>437</v>
      </c>
      <c r="C24">
        <v>32239451.045999862</v>
      </c>
      <c r="D24">
        <v>5707.1076378119778</v>
      </c>
    </row>
    <row r="25" spans="1:8" x14ac:dyDescent="0.25">
      <c r="A25" t="s">
        <v>26</v>
      </c>
      <c r="B25">
        <v>162</v>
      </c>
      <c r="C25">
        <v>13908117.511999998</v>
      </c>
      <c r="D25">
        <v>7206.2785036269424</v>
      </c>
    </row>
    <row r="26" spans="1:8" x14ac:dyDescent="0.25">
      <c r="A26" t="s">
        <v>27</v>
      </c>
      <c r="B26">
        <v>42</v>
      </c>
      <c r="C26">
        <v>2454303.3310000016</v>
      </c>
      <c r="D26">
        <v>4765.637535922333</v>
      </c>
    </row>
    <row r="27" spans="1:8" x14ac:dyDescent="0.25">
      <c r="A27" t="s">
        <v>28</v>
      </c>
      <c r="B27">
        <v>347</v>
      </c>
      <c r="C27">
        <v>26343777.516000014</v>
      </c>
      <c r="D27">
        <v>5938.6333444544662</v>
      </c>
    </row>
    <row r="28" spans="1:8" x14ac:dyDescent="0.25">
      <c r="A28" t="s">
        <v>29</v>
      </c>
      <c r="B28">
        <v>253</v>
      </c>
      <c r="C28">
        <v>14166874.84100006</v>
      </c>
      <c r="D28">
        <v>4497.4205844444632</v>
      </c>
    </row>
    <row r="29" spans="1:8" x14ac:dyDescent="0.25">
      <c r="A29" t="s">
        <v>30</v>
      </c>
      <c r="B29">
        <v>638</v>
      </c>
      <c r="C29">
        <v>198923471.18799824</v>
      </c>
      <c r="D29">
        <v>24452.793016348893</v>
      </c>
    </row>
    <row r="30" spans="1:8" x14ac:dyDescent="0.25">
      <c r="A30" t="s">
        <v>31</v>
      </c>
      <c r="B30">
        <v>152</v>
      </c>
      <c r="C30">
        <v>8566203.7889999822</v>
      </c>
      <c r="D30">
        <v>4374.9763988763953</v>
      </c>
    </row>
    <row r="31" spans="1:8" x14ac:dyDescent="0.25">
      <c r="A31" t="s">
        <v>32</v>
      </c>
      <c r="B31">
        <v>7181</v>
      </c>
      <c r="C31">
        <v>355340986.9119882</v>
      </c>
      <c r="D31">
        <v>3528.2534222194572</v>
      </c>
      <c r="F31" s="1" t="s">
        <v>89</v>
      </c>
      <c r="G31" t="s">
        <v>92</v>
      </c>
      <c r="H31" t="s">
        <v>93</v>
      </c>
    </row>
    <row r="32" spans="1:8" x14ac:dyDescent="0.25">
      <c r="A32" t="s">
        <v>33</v>
      </c>
      <c r="B32">
        <v>56</v>
      </c>
      <c r="C32">
        <v>1406116.7349999887</v>
      </c>
      <c r="D32">
        <v>1955.6560987482458</v>
      </c>
      <c r="F32" s="2" t="s">
        <v>4</v>
      </c>
      <c r="G32" s="3">
        <v>28324410.778000023</v>
      </c>
      <c r="H32" s="3">
        <v>5529.9513428348346</v>
      </c>
    </row>
    <row r="33" spans="1:8" x14ac:dyDescent="0.25">
      <c r="A33" t="s">
        <v>34</v>
      </c>
      <c r="B33">
        <v>875</v>
      </c>
      <c r="C33">
        <v>39418235.616999514</v>
      </c>
      <c r="D33">
        <v>3561.781477997607</v>
      </c>
      <c r="F33" s="2" t="s">
        <v>5</v>
      </c>
      <c r="G33" s="3">
        <v>48520972.90999981</v>
      </c>
      <c r="H33" s="3">
        <v>5978.4343161655752</v>
      </c>
    </row>
    <row r="34" spans="1:8" x14ac:dyDescent="0.25">
      <c r="A34" t="s">
        <v>35</v>
      </c>
      <c r="B34">
        <v>1677</v>
      </c>
      <c r="C34">
        <v>76782652.24599877</v>
      </c>
      <c r="D34">
        <v>3491.5489175571265</v>
      </c>
      <c r="F34" s="2" t="s">
        <v>6</v>
      </c>
      <c r="G34" s="3">
        <v>13150660.755999999</v>
      </c>
      <c r="H34" s="3">
        <v>4960.6415526216515</v>
      </c>
    </row>
    <row r="35" spans="1:8" x14ac:dyDescent="0.25">
      <c r="A35" t="s">
        <v>36</v>
      </c>
      <c r="B35">
        <v>187</v>
      </c>
      <c r="C35">
        <v>9943328.2010000106</v>
      </c>
      <c r="D35">
        <v>4215.0607041119165</v>
      </c>
      <c r="F35" s="2" t="s">
        <v>7</v>
      </c>
      <c r="G35" s="3">
        <v>5519837.123000036</v>
      </c>
      <c r="H35" s="3">
        <v>8931.7752799353329</v>
      </c>
    </row>
    <row r="36" spans="1:8" x14ac:dyDescent="0.25">
      <c r="A36" t="s">
        <v>37</v>
      </c>
      <c r="B36">
        <v>508</v>
      </c>
      <c r="C36">
        <v>24491584.410000354</v>
      </c>
      <c r="D36">
        <v>3635.384356538571</v>
      </c>
      <c r="F36" s="2" t="s">
        <v>8</v>
      </c>
      <c r="G36" s="3">
        <v>15309562.157999996</v>
      </c>
      <c r="H36" s="3">
        <v>33137.580428571418</v>
      </c>
    </row>
    <row r="37" spans="1:8" x14ac:dyDescent="0.25">
      <c r="A37" t="s">
        <v>38</v>
      </c>
      <c r="B37">
        <v>554</v>
      </c>
      <c r="C37">
        <v>41348991.041000538</v>
      </c>
      <c r="D37">
        <v>5850.1685117431434</v>
      </c>
      <c r="F37" s="2" t="s">
        <v>9</v>
      </c>
      <c r="G37" s="3">
        <v>582614748.64199567</v>
      </c>
      <c r="H37" s="3">
        <v>6234.2408954351413</v>
      </c>
    </row>
    <row r="38" spans="1:8" x14ac:dyDescent="0.25">
      <c r="A38" t="s">
        <v>39</v>
      </c>
      <c r="B38">
        <v>75</v>
      </c>
      <c r="C38">
        <v>3646049.6989999935</v>
      </c>
      <c r="D38">
        <v>4304.6631629279736</v>
      </c>
      <c r="F38" s="2" t="s">
        <v>10</v>
      </c>
      <c r="G38" s="3">
        <v>336341199.57000065</v>
      </c>
      <c r="H38" s="3">
        <v>5801.8871430543004</v>
      </c>
    </row>
    <row r="39" spans="1:8" x14ac:dyDescent="0.25">
      <c r="A39" t="s">
        <v>40</v>
      </c>
      <c r="B39">
        <v>420</v>
      </c>
      <c r="C39">
        <v>32147923.281000137</v>
      </c>
      <c r="D39">
        <v>5996.6281068830694</v>
      </c>
      <c r="F39" s="2" t="s">
        <v>11</v>
      </c>
      <c r="G39" s="3">
        <v>1088635622.5939415</v>
      </c>
      <c r="H39" s="3">
        <v>5928.5160820246556</v>
      </c>
    </row>
    <row r="40" spans="1:8" x14ac:dyDescent="0.25">
      <c r="A40" t="s">
        <v>41</v>
      </c>
      <c r="B40">
        <v>522</v>
      </c>
      <c r="C40">
        <v>45331932.442999773</v>
      </c>
      <c r="D40">
        <v>6747.8315634116962</v>
      </c>
      <c r="F40" s="2" t="s">
        <v>12</v>
      </c>
      <c r="G40" s="3">
        <v>58604853.052999385</v>
      </c>
      <c r="H40" s="3">
        <v>2284.61145536408</v>
      </c>
    </row>
    <row r="41" spans="1:8" x14ac:dyDescent="0.25">
      <c r="A41" t="s">
        <v>42</v>
      </c>
      <c r="B41">
        <v>39</v>
      </c>
      <c r="C41">
        <v>16730352.405000005</v>
      </c>
      <c r="D41">
        <v>33867.110131578956</v>
      </c>
      <c r="F41" s="2" t="s">
        <v>13</v>
      </c>
      <c r="G41" s="3">
        <v>6996074.3379999679</v>
      </c>
      <c r="H41" s="3">
        <v>1913.5870727571028</v>
      </c>
    </row>
    <row r="42" spans="1:8" x14ac:dyDescent="0.25">
      <c r="A42" t="s">
        <v>43</v>
      </c>
      <c r="B42">
        <v>2906</v>
      </c>
      <c r="C42">
        <v>1114037603.5879874</v>
      </c>
      <c r="D42">
        <v>29671.272667873738</v>
      </c>
      <c r="F42" s="2" t="s">
        <v>14</v>
      </c>
      <c r="G42" s="3">
        <v>39249604.014000297</v>
      </c>
      <c r="H42" s="3">
        <v>2624.3383266916485</v>
      </c>
    </row>
    <row r="43" spans="1:8" x14ac:dyDescent="0.25">
      <c r="A43" t="s">
        <v>44</v>
      </c>
      <c r="B43">
        <v>108</v>
      </c>
      <c r="C43">
        <v>50351922.739000037</v>
      </c>
      <c r="D43">
        <v>37353.058411721096</v>
      </c>
      <c r="F43" s="2" t="s">
        <v>15</v>
      </c>
      <c r="G43" s="3">
        <v>1019209.960000001</v>
      </c>
      <c r="H43" s="3">
        <v>16986.832666666684</v>
      </c>
    </row>
    <row r="44" spans="1:8" x14ac:dyDescent="0.25">
      <c r="A44" t="s">
        <v>45</v>
      </c>
      <c r="B44">
        <v>13</v>
      </c>
      <c r="C44">
        <v>6356693.8880000003</v>
      </c>
      <c r="D44">
        <v>33107.780666666666</v>
      </c>
      <c r="F44" s="2" t="s">
        <v>16</v>
      </c>
      <c r="G44" s="3">
        <v>24714953.862000175</v>
      </c>
      <c r="H44" s="3">
        <v>6143.4138359433691</v>
      </c>
    </row>
    <row r="45" spans="1:8" x14ac:dyDescent="0.25">
      <c r="A45" t="s">
        <v>46</v>
      </c>
      <c r="B45">
        <v>3363</v>
      </c>
      <c r="C45">
        <v>275610174.62999654</v>
      </c>
      <c r="D45">
        <v>6258.7468123807012</v>
      </c>
      <c r="F45" s="2" t="s">
        <v>17</v>
      </c>
      <c r="G45" s="3">
        <v>12376800.464000039</v>
      </c>
      <c r="H45" s="3">
        <v>6815.4187577092725</v>
      </c>
    </row>
    <row r="46" spans="1:8" x14ac:dyDescent="0.25">
      <c r="A46" t="s">
        <v>47</v>
      </c>
      <c r="B46">
        <v>10725</v>
      </c>
      <c r="C46">
        <v>879417783.62096739</v>
      </c>
      <c r="D46">
        <v>5998.1842363005399</v>
      </c>
      <c r="F46" s="2" t="s">
        <v>18</v>
      </c>
      <c r="G46" s="3">
        <v>9928353.4410000127</v>
      </c>
      <c r="H46" s="3">
        <v>22771.452846330303</v>
      </c>
    </row>
    <row r="47" spans="1:8" x14ac:dyDescent="0.25">
      <c r="A47" t="s">
        <v>48</v>
      </c>
      <c r="B47">
        <v>392</v>
      </c>
      <c r="C47">
        <v>168259482.36200052</v>
      </c>
      <c r="D47">
        <v>33266.010747726476</v>
      </c>
      <c r="F47" s="2" t="s">
        <v>19</v>
      </c>
      <c r="G47" s="3">
        <v>575756372.83798873</v>
      </c>
      <c r="H47" s="3">
        <v>21599.503782937754</v>
      </c>
    </row>
    <row r="48" spans="1:8" x14ac:dyDescent="0.25">
      <c r="A48" t="s">
        <v>49</v>
      </c>
      <c r="B48">
        <v>137</v>
      </c>
      <c r="C48">
        <v>46239201.771000288</v>
      </c>
      <c r="D48">
        <v>26332.119459567362</v>
      </c>
      <c r="F48" s="2" t="s">
        <v>20</v>
      </c>
      <c r="G48" s="3">
        <v>111144416.95500065</v>
      </c>
      <c r="H48" s="3">
        <v>23044.664514824934</v>
      </c>
    </row>
    <row r="49" spans="1:8" x14ac:dyDescent="0.25">
      <c r="A49" t="s">
        <v>50</v>
      </c>
      <c r="B49">
        <v>5</v>
      </c>
      <c r="C49">
        <v>7459950.9240000127</v>
      </c>
      <c r="D49">
        <v>90975.011268292845</v>
      </c>
      <c r="F49" s="2" t="s">
        <v>21</v>
      </c>
      <c r="G49" s="3">
        <v>144518863.85200012</v>
      </c>
      <c r="H49" s="3">
        <v>5820.8016695666229</v>
      </c>
    </row>
    <row r="50" spans="1:8" x14ac:dyDescent="0.25">
      <c r="A50" t="s">
        <v>51</v>
      </c>
      <c r="B50">
        <v>105</v>
      </c>
      <c r="C50">
        <v>49033986.209000111</v>
      </c>
      <c r="D50">
        <v>37805.694841172022</v>
      </c>
      <c r="F50" s="2" t="s">
        <v>22</v>
      </c>
      <c r="G50" s="3">
        <v>29064888.169000063</v>
      </c>
      <c r="H50" s="3">
        <v>5684.5077584588425</v>
      </c>
    </row>
    <row r="51" spans="1:8" x14ac:dyDescent="0.25">
      <c r="A51" t="s">
        <v>52</v>
      </c>
      <c r="B51">
        <v>224</v>
      </c>
      <c r="C51">
        <v>93756676.727000549</v>
      </c>
      <c r="D51">
        <v>32599.678973226895</v>
      </c>
      <c r="F51" s="2" t="s">
        <v>23</v>
      </c>
      <c r="G51" s="3">
        <v>28336907.244000208</v>
      </c>
      <c r="H51" s="3">
        <v>5174.7456617969701</v>
      </c>
    </row>
    <row r="52" spans="1:8" x14ac:dyDescent="0.25">
      <c r="A52" t="s">
        <v>53</v>
      </c>
      <c r="B52">
        <v>10503</v>
      </c>
      <c r="C52">
        <v>836688030.46598494</v>
      </c>
      <c r="D52">
        <v>5919.0550774007634</v>
      </c>
      <c r="F52" s="2" t="s">
        <v>24</v>
      </c>
      <c r="G52" s="3">
        <v>290511780.75801092</v>
      </c>
      <c r="H52" s="3">
        <v>6119.2581518275074</v>
      </c>
    </row>
    <row r="53" spans="1:8" x14ac:dyDescent="0.25">
      <c r="A53" t="s">
        <v>54</v>
      </c>
      <c r="B53">
        <v>354</v>
      </c>
      <c r="C53">
        <v>21890371.048000243</v>
      </c>
      <c r="D53">
        <v>4828.0483123070671</v>
      </c>
      <c r="F53" s="2" t="s">
        <v>25</v>
      </c>
      <c r="G53" s="3">
        <v>32239451.045999862</v>
      </c>
      <c r="H53" s="3">
        <v>5707.1076378119778</v>
      </c>
    </row>
    <row r="54" spans="1:8" x14ac:dyDescent="0.25">
      <c r="A54" t="s">
        <v>55</v>
      </c>
      <c r="B54">
        <v>83</v>
      </c>
      <c r="C54">
        <v>42212763.804999955</v>
      </c>
      <c r="D54">
        <v>33689.356588188311</v>
      </c>
      <c r="F54" s="2" t="s">
        <v>26</v>
      </c>
      <c r="G54" s="3">
        <v>13908117.511999998</v>
      </c>
      <c r="H54" s="3">
        <v>7206.2785036269424</v>
      </c>
    </row>
    <row r="55" spans="1:8" x14ac:dyDescent="0.25">
      <c r="A55" t="s">
        <v>56</v>
      </c>
      <c r="B55">
        <v>46</v>
      </c>
      <c r="C55">
        <v>3638163.17199999</v>
      </c>
      <c r="D55">
        <v>6338.2633658536415</v>
      </c>
      <c r="F55" s="2" t="s">
        <v>27</v>
      </c>
      <c r="G55" s="3">
        <v>2454303.3310000016</v>
      </c>
      <c r="H55" s="3">
        <v>4765.637535922333</v>
      </c>
    </row>
    <row r="56" spans="1:8" x14ac:dyDescent="0.25">
      <c r="A56" t="s">
        <v>57</v>
      </c>
      <c r="B56">
        <v>1652</v>
      </c>
      <c r="C56">
        <v>123117692.21199679</v>
      </c>
      <c r="D56">
        <v>5831.0927447189915</v>
      </c>
      <c r="F56" s="2" t="s">
        <v>28</v>
      </c>
      <c r="G56" s="3">
        <v>26343777.516000014</v>
      </c>
      <c r="H56" s="3">
        <v>5938.6333444544662</v>
      </c>
    </row>
    <row r="57" spans="1:8" x14ac:dyDescent="0.25">
      <c r="A57" t="s">
        <v>58</v>
      </c>
      <c r="B57">
        <v>542</v>
      </c>
      <c r="C57">
        <v>45965932.159999371</v>
      </c>
      <c r="D57">
        <v>6359.4261427779984</v>
      </c>
      <c r="F57" s="2" t="s">
        <v>29</v>
      </c>
      <c r="G57" s="3">
        <v>14166874.84100006</v>
      </c>
      <c r="H57" s="3">
        <v>4497.4205844444632</v>
      </c>
    </row>
    <row r="58" spans="1:8" x14ac:dyDescent="0.25">
      <c r="A58" t="s">
        <v>59</v>
      </c>
      <c r="B58">
        <v>124</v>
      </c>
      <c r="C58">
        <v>9799853.8789999615</v>
      </c>
      <c r="D58">
        <v>6375.9621854261295</v>
      </c>
      <c r="F58" s="2" t="s">
        <v>30</v>
      </c>
      <c r="G58" s="3">
        <v>198923471.18799824</v>
      </c>
      <c r="H58" s="3">
        <v>24452.793016348893</v>
      </c>
    </row>
    <row r="59" spans="1:8" x14ac:dyDescent="0.25">
      <c r="A59" t="s">
        <v>60</v>
      </c>
      <c r="B59">
        <v>1324</v>
      </c>
      <c r="C59">
        <v>102323426.87599881</v>
      </c>
      <c r="D59">
        <v>5846.0507842083534</v>
      </c>
      <c r="F59" s="2" t="s">
        <v>31</v>
      </c>
      <c r="G59" s="3">
        <v>8566203.7889999822</v>
      </c>
      <c r="H59" s="3">
        <v>4374.9763988763953</v>
      </c>
    </row>
    <row r="60" spans="1:8" x14ac:dyDescent="0.25">
      <c r="A60" t="s">
        <v>61</v>
      </c>
      <c r="B60">
        <v>474</v>
      </c>
      <c r="C60">
        <v>135125843.79699785</v>
      </c>
      <c r="D60">
        <v>22611.419644745289</v>
      </c>
      <c r="F60" s="2" t="s">
        <v>32</v>
      </c>
      <c r="G60" s="3">
        <v>355340986.9119882</v>
      </c>
      <c r="H60" s="3">
        <v>3528.2534222194572</v>
      </c>
    </row>
    <row r="61" spans="1:8" x14ac:dyDescent="0.25">
      <c r="A61" t="s">
        <v>62</v>
      </c>
      <c r="B61">
        <v>97</v>
      </c>
      <c r="C61">
        <v>7873593.4459999958</v>
      </c>
      <c r="D61">
        <v>6961.6210839964597</v>
      </c>
      <c r="F61" s="2" t="s">
        <v>33</v>
      </c>
      <c r="G61" s="3">
        <v>1406116.7349999887</v>
      </c>
      <c r="H61" s="3">
        <v>1955.6560987482458</v>
      </c>
    </row>
    <row r="62" spans="1:8" x14ac:dyDescent="0.25">
      <c r="A62" t="s">
        <v>63</v>
      </c>
      <c r="B62">
        <v>7594</v>
      </c>
      <c r="C62">
        <v>303001691.49200803</v>
      </c>
      <c r="D62">
        <v>2889.5831727256154</v>
      </c>
      <c r="F62" s="2" t="s">
        <v>34</v>
      </c>
      <c r="G62" s="3">
        <v>39418235.616999514</v>
      </c>
      <c r="H62" s="3">
        <v>3561.781477997607</v>
      </c>
    </row>
    <row r="63" spans="1:8" x14ac:dyDescent="0.25">
      <c r="A63" t="s">
        <v>64</v>
      </c>
      <c r="B63">
        <v>4737</v>
      </c>
      <c r="C63">
        <v>295047869.91600329</v>
      </c>
      <c r="D63">
        <v>4806.2009466843128</v>
      </c>
      <c r="F63" s="2" t="s">
        <v>35</v>
      </c>
      <c r="G63" s="3">
        <v>76782652.24599877</v>
      </c>
      <c r="H63" s="3">
        <v>3491.5489175571265</v>
      </c>
    </row>
    <row r="64" spans="1:8" x14ac:dyDescent="0.25">
      <c r="A64" t="s">
        <v>65</v>
      </c>
      <c r="B64">
        <v>6</v>
      </c>
      <c r="C64">
        <v>428334.95800000016</v>
      </c>
      <c r="D64">
        <v>8398.7246666666706</v>
      </c>
      <c r="F64" s="2" t="s">
        <v>36</v>
      </c>
      <c r="G64" s="3">
        <v>9943328.2010000106</v>
      </c>
      <c r="H64" s="3">
        <v>4215.0607041119165</v>
      </c>
    </row>
    <row r="65" spans="1:8" x14ac:dyDescent="0.25">
      <c r="A65" t="s">
        <v>66</v>
      </c>
      <c r="B65">
        <v>328</v>
      </c>
      <c r="C65">
        <v>26340701.327999704</v>
      </c>
      <c r="D65">
        <v>6197.8120771764006</v>
      </c>
      <c r="F65" s="2" t="s">
        <v>37</v>
      </c>
      <c r="G65" s="3">
        <v>24491584.410000354</v>
      </c>
      <c r="H65" s="3">
        <v>3635.384356538571</v>
      </c>
    </row>
    <row r="66" spans="1:8" x14ac:dyDescent="0.25">
      <c r="A66" t="s">
        <v>67</v>
      </c>
      <c r="B66">
        <v>1128</v>
      </c>
      <c r="C66">
        <v>90153913.987999782</v>
      </c>
      <c r="D66">
        <v>6251.1381214810554</v>
      </c>
      <c r="F66" s="2" t="s">
        <v>38</v>
      </c>
      <c r="G66" s="3">
        <v>41348991.041000538</v>
      </c>
      <c r="H66" s="3">
        <v>5850.1685117431434</v>
      </c>
    </row>
    <row r="67" spans="1:8" x14ac:dyDescent="0.25">
      <c r="A67" t="s">
        <v>68</v>
      </c>
      <c r="B67">
        <v>37</v>
      </c>
      <c r="C67">
        <v>11997319.857999962</v>
      </c>
      <c r="D67">
        <v>24139.476575452638</v>
      </c>
      <c r="F67" s="2" t="s">
        <v>39</v>
      </c>
      <c r="G67" s="3">
        <v>3646049.6989999935</v>
      </c>
      <c r="H67" s="3">
        <v>4304.6631629279736</v>
      </c>
    </row>
    <row r="68" spans="1:8" x14ac:dyDescent="0.25">
      <c r="A68" t="s">
        <v>69</v>
      </c>
      <c r="B68">
        <v>12695</v>
      </c>
      <c r="C68">
        <v>1045712435.5229565</v>
      </c>
      <c r="D68">
        <v>5961.8045149026611</v>
      </c>
      <c r="F68" s="2" t="s">
        <v>40</v>
      </c>
      <c r="G68" s="3">
        <v>32147923.281000137</v>
      </c>
      <c r="H68" s="3">
        <v>5996.6281068830694</v>
      </c>
    </row>
    <row r="69" spans="1:8" x14ac:dyDescent="0.25">
      <c r="A69" t="s">
        <v>70</v>
      </c>
      <c r="B69">
        <v>7466</v>
      </c>
      <c r="C69">
        <v>233511781.98499176</v>
      </c>
      <c r="D69">
        <v>2259.7987282377535</v>
      </c>
      <c r="F69" s="2" t="s">
        <v>41</v>
      </c>
      <c r="G69" s="3">
        <v>45331932.442999773</v>
      </c>
      <c r="H69" s="3">
        <v>6747.8315634116962</v>
      </c>
    </row>
    <row r="70" spans="1:8" x14ac:dyDescent="0.25">
      <c r="A70" t="s">
        <v>71</v>
      </c>
      <c r="B70">
        <v>59</v>
      </c>
      <c r="C70">
        <v>4418167.3520000055</v>
      </c>
      <c r="D70">
        <v>6144.8780973574485</v>
      </c>
      <c r="F70" s="2" t="s">
        <v>42</v>
      </c>
      <c r="G70" s="3">
        <v>16730352.405000005</v>
      </c>
      <c r="H70" s="3">
        <v>33867.110131578956</v>
      </c>
    </row>
    <row r="71" spans="1:8" x14ac:dyDescent="0.25">
      <c r="A71" t="s">
        <v>72</v>
      </c>
      <c r="B71">
        <v>4980</v>
      </c>
      <c r="C71">
        <v>384821123.98300844</v>
      </c>
      <c r="D71">
        <v>6037.5462672661279</v>
      </c>
      <c r="F71" s="2" t="s">
        <v>43</v>
      </c>
      <c r="G71" s="3">
        <v>1114037603.5879874</v>
      </c>
      <c r="H71" s="3">
        <v>29671.272667873738</v>
      </c>
    </row>
    <row r="72" spans="1:8" x14ac:dyDescent="0.25">
      <c r="A72" t="s">
        <v>73</v>
      </c>
      <c r="B72">
        <v>6760</v>
      </c>
      <c r="C72">
        <v>513758134.16301233</v>
      </c>
      <c r="D72">
        <v>5782.43893124226</v>
      </c>
      <c r="F72" s="2" t="s">
        <v>44</v>
      </c>
      <c r="G72" s="3">
        <v>50351922.739000037</v>
      </c>
      <c r="H72" s="3">
        <v>37353.058411721096</v>
      </c>
    </row>
    <row r="73" spans="1:8" x14ac:dyDescent="0.25">
      <c r="A73" t="s">
        <v>74</v>
      </c>
      <c r="B73">
        <v>6070</v>
      </c>
      <c r="C73">
        <v>472548384.19499761</v>
      </c>
      <c r="D73">
        <v>5883.614525063469</v>
      </c>
      <c r="F73" s="2" t="s">
        <v>45</v>
      </c>
      <c r="G73" s="3">
        <v>6356693.8880000003</v>
      </c>
      <c r="H73" s="3">
        <v>33107.780666666666</v>
      </c>
    </row>
    <row r="74" spans="1:8" x14ac:dyDescent="0.25">
      <c r="F74" s="2" t="s">
        <v>46</v>
      </c>
      <c r="G74" s="3">
        <v>275610174.62999654</v>
      </c>
      <c r="H74" s="3">
        <v>6258.7468123807012</v>
      </c>
    </row>
    <row r="75" spans="1:8" x14ac:dyDescent="0.25">
      <c r="F75" s="2" t="s">
        <v>47</v>
      </c>
      <c r="G75" s="3">
        <v>879417783.62096739</v>
      </c>
      <c r="H75" s="3">
        <v>5998.1842363005399</v>
      </c>
    </row>
    <row r="76" spans="1:8" x14ac:dyDescent="0.25">
      <c r="F76" s="2" t="s">
        <v>48</v>
      </c>
      <c r="G76" s="3">
        <v>168259482.36200052</v>
      </c>
      <c r="H76" s="3">
        <v>33266.010747726476</v>
      </c>
    </row>
    <row r="77" spans="1:8" x14ac:dyDescent="0.25">
      <c r="F77" s="2" t="s">
        <v>49</v>
      </c>
      <c r="G77" s="3">
        <v>46239201.771000288</v>
      </c>
      <c r="H77" s="3">
        <v>26332.119459567362</v>
      </c>
    </row>
    <row r="78" spans="1:8" x14ac:dyDescent="0.25">
      <c r="F78" s="2" t="s">
        <v>50</v>
      </c>
      <c r="G78" s="3">
        <v>7459950.9240000127</v>
      </c>
      <c r="H78" s="3">
        <v>90975.011268292845</v>
      </c>
    </row>
    <row r="79" spans="1:8" x14ac:dyDescent="0.25">
      <c r="F79" s="2" t="s">
        <v>51</v>
      </c>
      <c r="G79" s="3">
        <v>49033986.209000111</v>
      </c>
      <c r="H79" s="3">
        <v>37805.694841172022</v>
      </c>
    </row>
    <row r="80" spans="1:8" x14ac:dyDescent="0.25">
      <c r="F80" s="2" t="s">
        <v>52</v>
      </c>
      <c r="G80" s="3">
        <v>93756676.727000549</v>
      </c>
      <c r="H80" s="3">
        <v>32599.678973226895</v>
      </c>
    </row>
    <row r="81" spans="6:8" x14ac:dyDescent="0.25">
      <c r="F81" s="2" t="s">
        <v>53</v>
      </c>
      <c r="G81" s="3">
        <v>836688030.46598494</v>
      </c>
      <c r="H81" s="3">
        <v>5919.0550774007634</v>
      </c>
    </row>
    <row r="82" spans="6:8" x14ac:dyDescent="0.25">
      <c r="F82" s="2" t="s">
        <v>54</v>
      </c>
      <c r="G82" s="3">
        <v>21890371.048000243</v>
      </c>
      <c r="H82" s="3">
        <v>4828.0483123070671</v>
      </c>
    </row>
    <row r="83" spans="6:8" x14ac:dyDescent="0.25">
      <c r="F83" s="2" t="s">
        <v>55</v>
      </c>
      <c r="G83" s="3">
        <v>42212763.804999955</v>
      </c>
      <c r="H83" s="3">
        <v>33689.356588188311</v>
      </c>
    </row>
    <row r="84" spans="6:8" x14ac:dyDescent="0.25">
      <c r="F84" s="2" t="s">
        <v>56</v>
      </c>
      <c r="G84" s="3">
        <v>3638163.17199999</v>
      </c>
      <c r="H84" s="3">
        <v>6338.2633658536415</v>
      </c>
    </row>
    <row r="85" spans="6:8" x14ac:dyDescent="0.25">
      <c r="F85" s="2" t="s">
        <v>57</v>
      </c>
      <c r="G85" s="3">
        <v>123117692.21199679</v>
      </c>
      <c r="H85" s="3">
        <v>5831.0927447189915</v>
      </c>
    </row>
    <row r="86" spans="6:8" x14ac:dyDescent="0.25">
      <c r="F86" s="2" t="s">
        <v>58</v>
      </c>
      <c r="G86" s="3">
        <v>45965932.159999371</v>
      </c>
      <c r="H86" s="3">
        <v>6359.4261427779984</v>
      </c>
    </row>
    <row r="87" spans="6:8" x14ac:dyDescent="0.25">
      <c r="F87" s="2" t="s">
        <v>59</v>
      </c>
      <c r="G87" s="3">
        <v>9799853.8789999615</v>
      </c>
      <c r="H87" s="3">
        <v>6375.9621854261295</v>
      </c>
    </row>
    <row r="88" spans="6:8" x14ac:dyDescent="0.25">
      <c r="F88" s="2" t="s">
        <v>60</v>
      </c>
      <c r="G88" s="3">
        <v>102323426.87599881</v>
      </c>
      <c r="H88" s="3">
        <v>5846.0507842083534</v>
      </c>
    </row>
    <row r="89" spans="6:8" x14ac:dyDescent="0.25">
      <c r="F89" s="2" t="s">
        <v>61</v>
      </c>
      <c r="G89" s="3">
        <v>135125843.79699785</v>
      </c>
      <c r="H89" s="3">
        <v>22611.419644745289</v>
      </c>
    </row>
    <row r="90" spans="6:8" x14ac:dyDescent="0.25">
      <c r="F90" s="2" t="s">
        <v>62</v>
      </c>
      <c r="G90" s="3">
        <v>7873593.4459999958</v>
      </c>
      <c r="H90" s="3">
        <v>6961.6210839964597</v>
      </c>
    </row>
    <row r="91" spans="6:8" x14ac:dyDescent="0.25">
      <c r="F91" s="2" t="s">
        <v>63</v>
      </c>
      <c r="G91" s="3">
        <v>303001691.49200803</v>
      </c>
      <c r="H91" s="3">
        <v>2889.5831727256154</v>
      </c>
    </row>
    <row r="92" spans="6:8" x14ac:dyDescent="0.25">
      <c r="F92" s="2" t="s">
        <v>64</v>
      </c>
      <c r="G92" s="3">
        <v>295047869.91600329</v>
      </c>
      <c r="H92" s="3">
        <v>4806.2009466843128</v>
      </c>
    </row>
    <row r="93" spans="6:8" x14ac:dyDescent="0.25">
      <c r="F93" s="2" t="s">
        <v>65</v>
      </c>
      <c r="G93" s="3">
        <v>428334.95800000016</v>
      </c>
      <c r="H93" s="3">
        <v>8398.7246666666706</v>
      </c>
    </row>
    <row r="94" spans="6:8" x14ac:dyDescent="0.25">
      <c r="F94" s="2" t="s">
        <v>66</v>
      </c>
      <c r="G94" s="3">
        <v>26340701.327999704</v>
      </c>
      <c r="H94" s="3">
        <v>6197.8120771764006</v>
      </c>
    </row>
    <row r="95" spans="6:8" x14ac:dyDescent="0.25">
      <c r="F95" s="2" t="s">
        <v>67</v>
      </c>
      <c r="G95" s="3">
        <v>90153913.987999782</v>
      </c>
      <c r="H95" s="3">
        <v>6251.1381214810554</v>
      </c>
    </row>
    <row r="96" spans="6:8" x14ac:dyDescent="0.25">
      <c r="F96" s="2" t="s">
        <v>68</v>
      </c>
      <c r="G96" s="3">
        <v>11997319.857999962</v>
      </c>
      <c r="H96" s="3">
        <v>24139.476575452638</v>
      </c>
    </row>
    <row r="97" spans="6:8" x14ac:dyDescent="0.25">
      <c r="F97" s="2" t="s">
        <v>69</v>
      </c>
      <c r="G97" s="3">
        <v>1045712435.5229565</v>
      </c>
      <c r="H97" s="3">
        <v>5961.8045149026611</v>
      </c>
    </row>
    <row r="98" spans="6:8" x14ac:dyDescent="0.25">
      <c r="F98" s="2" t="s">
        <v>70</v>
      </c>
      <c r="G98" s="3">
        <v>233511781.98499176</v>
      </c>
      <c r="H98" s="3">
        <v>2259.7987282377535</v>
      </c>
    </row>
    <row r="99" spans="6:8" x14ac:dyDescent="0.25">
      <c r="F99" s="2" t="s">
        <v>71</v>
      </c>
      <c r="G99" s="3">
        <v>4418167.3520000055</v>
      </c>
      <c r="H99" s="3">
        <v>6144.8780973574485</v>
      </c>
    </row>
    <row r="100" spans="6:8" x14ac:dyDescent="0.25">
      <c r="F100" s="2" t="s">
        <v>72</v>
      </c>
      <c r="G100" s="3">
        <v>384821123.98300844</v>
      </c>
      <c r="H100" s="3">
        <v>6037.5462672661279</v>
      </c>
    </row>
    <row r="101" spans="6:8" x14ac:dyDescent="0.25">
      <c r="F101" s="2" t="s">
        <v>73</v>
      </c>
      <c r="G101" s="3">
        <v>513758134.16301233</v>
      </c>
      <c r="H101" s="3">
        <v>5782.43893124226</v>
      </c>
    </row>
    <row r="102" spans="6:8" x14ac:dyDescent="0.25">
      <c r="F102" s="2" t="s">
        <v>74</v>
      </c>
      <c r="G102" s="3">
        <v>472548384.19499761</v>
      </c>
      <c r="H102" s="3">
        <v>5883.614525063469</v>
      </c>
    </row>
    <row r="103" spans="6:8" x14ac:dyDescent="0.25">
      <c r="F103" s="2" t="s">
        <v>90</v>
      </c>
      <c r="G103" s="3"/>
      <c r="H103" s="3"/>
    </row>
    <row r="104" spans="6:8" x14ac:dyDescent="0.25">
      <c r="F104" s="2" t="s">
        <v>91</v>
      </c>
      <c r="G104" s="3">
        <v>11794729451.752832</v>
      </c>
      <c r="H104" s="3">
        <v>860463.96765552915</v>
      </c>
    </row>
  </sheetData>
  <pageMargins left="0.7" right="0.7" top="0.75" bottom="0.75" header="0.3" footer="0.3"/>
  <pageSetup paperSize="9" orientation="portrait" r:id="rId3"/>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97B219-9F40-42C4-961D-BE648EB36E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Customer Satisfaction</vt:lpstr>
      <vt:lpstr>Customer Retention</vt:lpstr>
      <vt:lpstr>Sales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2026-07-17T04:20:20Z</dcterms:created>
  <dcterms:modified xsi:type="dcterms:W3CDTF">2026-07-21T07:51:44Z</dcterms:modified>
</cp:coreProperties>
</file>